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<sst xmlns="http://schemas.openxmlformats.org/spreadsheetml/2006/main" count="594" uniqueCount="138">
  <si>
    <t>Lighthouse Report</t>
  </si>
  <si>
    <t>Websites</t>
  </si>
  <si>
    <t xml:space="preserve">Performance </t>
  </si>
  <si>
    <t>Page</t>
  </si>
  <si>
    <t>Device</t>
  </si>
  <si>
    <t>With Cache</t>
  </si>
  <si>
    <t>Without Cache</t>
  </si>
  <si>
    <t>Analysis Results</t>
  </si>
  <si>
    <t>Aug 24, 2025, 4:05:07 AM</t>
  </si>
  <si>
    <t>01_First Link</t>
  </si>
  <si>
    <t>Desktop</t>
  </si>
  <si>
    <t>Mobile</t>
  </si>
  <si>
    <t>Aug 24, 2025, 4:05:41 AM</t>
  </si>
  <si>
    <t>Aug 24, 2025, 4:05:42 AM</t>
  </si>
  <si>
    <t>02_Second Link</t>
  </si>
  <si>
    <t>Aug 24, 2025, 4:07:11 AM</t>
  </si>
  <si>
    <t>Aug 24, 2025, 4:07:12 AM</t>
  </si>
  <si>
    <t>03_Third Link</t>
  </si>
  <si>
    <t>Aug 24, 2025, 4:07:47 AM</t>
  </si>
  <si>
    <t>04_Fourth Link</t>
  </si>
  <si>
    <t>Aug 24, 2025, 4:08:21 AM</t>
  </si>
  <si>
    <t>05_Fifth Link</t>
  </si>
  <si>
    <t>Aug 24, 2025, 4:09:57 AM</t>
  </si>
  <si>
    <t>06_Sixth Link</t>
  </si>
  <si>
    <t>Aug 24, 2025, 4:11:30 AM</t>
  </si>
  <si>
    <t>07_Seventh Link</t>
  </si>
  <si>
    <t>Aug 24, 2025, 4:12:12 AM</t>
  </si>
  <si>
    <t>08_Eighth Link</t>
  </si>
  <si>
    <t>0 to 49</t>
  </si>
  <si>
    <t xml:space="preserve"> Poor</t>
  </si>
  <si>
    <t>50 to 89</t>
  </si>
  <si>
    <t>Needs Improvement</t>
  </si>
  <si>
    <t>90 to 100</t>
  </si>
  <si>
    <t>Good</t>
  </si>
  <si>
    <t>Best Insight</t>
  </si>
  <si>
    <t>URL:</t>
  </si>
  <si>
    <t>Diagnostic:</t>
  </si>
  <si>
    <t xml:space="preserve">Properly size images  </t>
  </si>
  <si>
    <t>Recommendation:</t>
  </si>
  <si>
    <t>Learn how to size images</t>
  </si>
  <si>
    <t>Worst Insight</t>
  </si>
  <si>
    <t xml:space="preserve">Reduce JavaScript execution time — 2.2 s </t>
  </si>
  <si>
    <t>Learn how to reduce Javascript execution time</t>
  </si>
  <si>
    <t xml:space="preserve">Reduce JavaScript execution time — 26.3 s </t>
  </si>
  <si>
    <t xml:space="preserve">Minify CSS  </t>
  </si>
  <si>
    <t>Learn how to minify CSS</t>
  </si>
  <si>
    <t xml:space="preserve">Minimize main-thread work — 4.6 s </t>
  </si>
  <si>
    <t>Learn how to minimize main-thread work</t>
  </si>
  <si>
    <t>\\</t>
  </si>
  <si>
    <t xml:space="preserve">Minimize main-thread work — 14.7 s </t>
  </si>
  <si>
    <t xml:space="preserve">Reduce JavaScript execution time — 18.3 s </t>
  </si>
  <si>
    <t xml:space="preserve">Minimize main-thread work — 17.7 s </t>
  </si>
  <si>
    <t xml:space="preserve">Reduce JavaScript execution time — 4.8 s </t>
  </si>
  <si>
    <t xml:space="preserve">Eliminate render-blocking resources  </t>
  </si>
  <si>
    <t>Learn how to eliminate render-blocking resources</t>
  </si>
  <si>
    <t xml:space="preserve">Reduce JavaScript execution time — 12.7 s </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</si>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</sst>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031750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694715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293033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947970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3944121"/>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https://developer.chrome.com/docs/lighthouse/performance/uses-responsive-images/?utm_source=lighthouse&amp;utm_medium=cli" TargetMode="External"/><Relationship Id="rId3" Type="http://schemas.openxmlformats.org/officeDocument/2006/relationships/hyperlink" Target="https://developer.chrome.com/docs/lighthouse/performance/mainthread-work-breakdown/?utm_source=lighthouse&amp;utm_medium=cli" TargetMode="Externa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hyperlink" Target="https://developer.chrome.com/docs/lighthouse/performance/render-blocking-resourc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t="s">
        <v>8</v>
      </c>
      <c r="E6" s="14" t="s">
        <v>8</v>
      </c>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9</v>
      </c>
      <c r="C7" s="17" t="s">
        <v>10</v>
      </c>
      <c r="D7" s="18">
        <v>95</v>
      </c>
      <c r="E7" s="18">
        <v>95</v>
      </c>
      <c r="F7" s="3"/>
      <c r="G7" s="19"/>
    </row>
    <row r="8" ht="15" customHeight="1" spans="2:7" x14ac:dyDescent="0.25">
      <c r="B8" s="20"/>
      <c r="C8" s="21" t="s">
        <v>11</v>
      </c>
      <c r="D8" s="18">
        <v>45</v>
      </c>
      <c r="E8" s="18">
        <v>47</v>
      </c>
      <c r="F8" s="3"/>
      <c r="G8" s="22"/>
    </row>
    <row r="9" ht="15" customHeight="1" spans="2:7" x14ac:dyDescent="0.25">
      <c r="B9" s="23"/>
      <c r="C9" s="3"/>
      <c r="D9" s="3"/>
      <c r="E9" s="3"/>
      <c r="F9" s="3"/>
      <c r="G9" s="3"/>
    </row>
    <row r="10" ht="15" customHeight="1" spans="2:7" x14ac:dyDescent="0.25">
      <c r="B10" s="13"/>
      <c r="C10" s="13"/>
      <c r="D10" s="14" t="s">
        <v>12</v>
      </c>
      <c r="E10" s="14" t="s">
        <v>13</v>
      </c>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14</v>
      </c>
      <c r="C11" s="17" t="s">
        <v>10</v>
      </c>
      <c r="D11" s="18">
        <v>59</v>
      </c>
      <c r="E11" s="18">
        <v>69</v>
      </c>
      <c r="G11" s="19"/>
    </row>
    <row r="12" ht="15" customHeight="1" spans="2:7" x14ac:dyDescent="0.25">
      <c r="B12" s="20"/>
      <c r="C12" s="21" t="s">
        <v>11</v>
      </c>
      <c r="D12" s="18">
        <v>34</v>
      </c>
      <c r="E12" s="18">
        <v>35</v>
      </c>
      <c r="F12" s="3"/>
      <c r="G12" s="22"/>
    </row>
    <row r="13" ht="15" customHeight="1" spans="2:7" x14ac:dyDescent="0.25">
      <c r="B13" s="23"/>
      <c r="C13" s="3"/>
      <c r="D13" s="24"/>
      <c r="E13" s="24"/>
      <c r="F13" s="3"/>
      <c r="G13" s="3"/>
    </row>
    <row r="14" ht="15" customHeight="1" spans="2:7" x14ac:dyDescent="0.25">
      <c r="B14" s="13"/>
      <c r="C14" s="13"/>
      <c r="D14" s="14" t="s">
        <v>15</v>
      </c>
      <c r="E14" s="14" t="s">
        <v>16</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17</v>
      </c>
      <c r="C15" s="17" t="s">
        <v>10</v>
      </c>
      <c r="D15" s="18">
        <v>94</v>
      </c>
      <c r="E15" s="18">
        <v>96</v>
      </c>
      <c r="F15" s="3"/>
      <c r="G15" s="19"/>
    </row>
    <row r="16" ht="15" customHeight="1" spans="2:7" x14ac:dyDescent="0.25">
      <c r="B16" s="20"/>
      <c r="C16" s="21" t="s">
        <v>11</v>
      </c>
      <c r="D16" s="18">
        <v>44</v>
      </c>
      <c r="E16" s="18">
        <v>46</v>
      </c>
      <c r="F16" s="3"/>
      <c r="G16" s="22"/>
    </row>
    <row r="17" ht="15" customHeight="1" spans="2:7" x14ac:dyDescent="0.25">
      <c r="B17" s="23"/>
      <c r="C17" s="3"/>
      <c r="D17" s="24"/>
      <c r="E17" s="24"/>
      <c r="F17" s="3"/>
      <c r="G17" s="3"/>
    </row>
    <row r="18" ht="15" customHeight="1" spans="2:7" x14ac:dyDescent="0.25">
      <c r="B18" s="13"/>
      <c r="C18" s="13"/>
      <c r="D18" s="25" t="s">
        <v>18</v>
      </c>
      <c r="E18" s="14" t="s">
        <v>18</v>
      </c>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19</v>
      </c>
      <c r="C19" s="17" t="s">
        <v>10</v>
      </c>
      <c r="D19" s="18">
        <v>69</v>
      </c>
      <c r="E19" s="18">
        <v>67</v>
      </c>
      <c r="F19" s="3"/>
      <c r="G19" s="19"/>
    </row>
    <row r="20" ht="15" customHeight="1" spans="2:7" x14ac:dyDescent="0.25">
      <c r="B20" s="20"/>
      <c r="C20" s="21" t="s">
        <v>11</v>
      </c>
      <c r="D20" s="18">
        <v>34</v>
      </c>
      <c r="E20" s="18">
        <v>33</v>
      </c>
      <c r="F20" s="3"/>
      <c r="G20" s="22"/>
    </row>
    <row r="21" ht="15" customHeight="1" spans="2:7" x14ac:dyDescent="0.25">
      <c r="B21" s="23"/>
      <c r="C21" s="3"/>
      <c r="D21" s="24"/>
      <c r="E21" s="24"/>
      <c r="F21" s="3"/>
      <c r="G21" s="3"/>
    </row>
    <row r="22" ht="15" customHeight="1" spans="2:7" x14ac:dyDescent="0.25">
      <c r="B22" s="13"/>
      <c r="C22" s="13"/>
      <c r="D22" s="14" t="s">
        <v>20</v>
      </c>
      <c r="E22" s="14" t="s">
        <v>20</v>
      </c>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21</v>
      </c>
      <c r="C23" s="17" t="s">
        <v>10</v>
      </c>
      <c r="D23" s="18">
        <v>54</v>
      </c>
      <c r="E23" s="18">
        <v>58</v>
      </c>
      <c r="F23" s="3"/>
      <c r="G23" s="19"/>
    </row>
    <row r="24" ht="15" customHeight="1" spans="2:7" x14ac:dyDescent="0.25">
      <c r="B24" s="20"/>
      <c r="C24" s="21" t="s">
        <v>11</v>
      </c>
      <c r="D24" s="18">
        <v>34</v>
      </c>
      <c r="E24" s="18">
        <v>33</v>
      </c>
      <c r="F24" s="3"/>
      <c r="G24" s="22"/>
    </row>
    <row r="25" ht="15" customHeight="1" spans="2:7" x14ac:dyDescent="0.25">
      <c r="B25" s="23"/>
      <c r="C25" s="3"/>
      <c r="D25" s="24"/>
      <c r="E25" s="26"/>
      <c r="F25" s="3"/>
      <c r="G25" s="3"/>
    </row>
    <row r="26" ht="15" customHeight="1" spans="2:7" x14ac:dyDescent="0.25">
      <c r="B26" s="13"/>
      <c r="C26" s="13"/>
      <c r="D26" s="14" t="s">
        <v>22</v>
      </c>
      <c r="E26" s="14" t="s">
        <v>22</v>
      </c>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23</v>
      </c>
      <c r="C27" s="17" t="s">
        <v>10</v>
      </c>
      <c r="D27" s="18">
        <v>58</v>
      </c>
      <c r="E27" s="18">
        <v>58</v>
      </c>
      <c r="F27" s="3"/>
      <c r="G27" s="19"/>
    </row>
    <row r="28" ht="15" customHeight="1" spans="2:7" x14ac:dyDescent="0.25">
      <c r="B28" s="20"/>
      <c r="C28" s="21" t="s">
        <v>11</v>
      </c>
      <c r="D28" s="18">
        <v>50</v>
      </c>
      <c r="E28" s="18">
        <v>58</v>
      </c>
      <c r="F28" s="3"/>
      <c r="G28" s="22"/>
    </row>
    <row r="29" ht="15" customHeight="1" spans="2:7" x14ac:dyDescent="0.25">
      <c r="B29" s="23"/>
      <c r="C29" s="3"/>
      <c r="D29" s="24"/>
      <c r="E29" s="24"/>
      <c r="F29" s="3"/>
      <c r="G29" s="3"/>
    </row>
    <row r="30" ht="15" customHeight="1" spans="2:7" x14ac:dyDescent="0.25">
      <c r="B30" s="13"/>
      <c r="C30" s="13"/>
      <c r="D30" s="14" t="s">
        <v>24</v>
      </c>
      <c r="E30" s="25" t="s">
        <v>24</v>
      </c>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25</v>
      </c>
      <c r="C31" s="17" t="s">
        <v>10</v>
      </c>
      <c r="D31" s="18">
        <v>71</v>
      </c>
      <c r="E31" s="18">
        <v>65</v>
      </c>
      <c r="F31" s="3"/>
      <c r="G31" s="19"/>
    </row>
    <row r="32" ht="15" customHeight="1" spans="2:7" x14ac:dyDescent="0.25">
      <c r="B32" s="20"/>
      <c r="C32" s="21" t="s">
        <v>11</v>
      </c>
      <c r="D32" s="18">
        <v>48</v>
      </c>
      <c r="E32" s="18">
        <v>46</v>
      </c>
      <c r="F32" s="3"/>
      <c r="G32" s="22"/>
    </row>
    <row r="33" ht="15" customHeight="1" spans="2:7" x14ac:dyDescent="0.25">
      <c r="B33" s="23"/>
      <c r="C33" s="3"/>
      <c r="D33" s="24"/>
      <c r="E33" s="24"/>
      <c r="F33" s="3"/>
      <c r="G33" s="27"/>
    </row>
    <row r="34" ht="14.4" customHeight="1" spans="2:7" x14ac:dyDescent="0.25">
      <c r="B34" s="13"/>
      <c r="C34" s="13"/>
      <c r="D34" s="14" t="s">
        <v>26</v>
      </c>
      <c r="E34" s="25" t="s">
        <v>26</v>
      </c>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27</v>
      </c>
      <c r="C35" s="17" t="s">
        <v>10</v>
      </c>
      <c r="D35" s="18">
        <v>60</v>
      </c>
      <c r="E35" s="18">
        <v>60</v>
      </c>
      <c r="F35" s="3"/>
      <c r="G35" s="19"/>
    </row>
    <row r="36" ht="15" customHeight="1" spans="2:7" x14ac:dyDescent="0.25">
      <c r="B36" s="20"/>
      <c r="C36" s="21" t="s">
        <v>11</v>
      </c>
      <c r="D36" s="18">
        <v>27</v>
      </c>
      <c r="E36" s="18">
        <v>26</v>
      </c>
      <c r="F36" s="3"/>
      <c r="G36" s="22"/>
    </row>
    <row r="37" ht="15" customHeight="1" spans="3:7" x14ac:dyDescent="0.25">
      <c r="C37" s="3"/>
      <c r="D37" s="3"/>
      <c r="F37" s="3"/>
      <c r="G37" s="3"/>
    </row>
    <row r="38" ht="14.4" customHeight="1" spans="3:7" x14ac:dyDescent="0.25">
      <c r="C38" s="28" t="s">
        <v>28</v>
      </c>
      <c r="D38" s="29" t="s">
        <v>29</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30</v>
      </c>
      <c r="D39" s="31" t="s">
        <v>31</v>
      </c>
      <c r="F39" s="3"/>
      <c r="G39" s="19"/>
    </row>
    <row r="40" ht="15" customHeight="1" spans="3:7" x14ac:dyDescent="0.25">
      <c r="C40" s="32" t="s">
        <v>32</v>
      </c>
      <c r="D40" s="33" t="s">
        <v>33</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10</v>
      </c>
      <c r="D3" s="38" t="s">
        <v>5</v>
      </c>
      <c r="E3" s="39">
        <f>HYPERLINK(".\html-08-24-2025-04-04-41-AM\www_w3schools_com-Desktop-Normal.report.html", "https://www.w3schools.com/ — Desktop-Normal")</f>
      </c>
    </row>
    <row r="4" spans="2:5" x14ac:dyDescent="0.25">
      <c r="B4" s="40"/>
      <c r="C4" s="41"/>
      <c r="D4" s="42" t="s">
        <v>6</v>
      </c>
      <c r="E4" s="39">
        <f>HYPERLINK(".\html-08-24-2025-04-04-41-AM\www_w3schools_com-Desktop-Incognito.report.html", "https://www.w3schools.com/ — Desktop-Incognito")</f>
      </c>
    </row>
    <row r="5" spans="2:5" x14ac:dyDescent="0.25">
      <c r="B5" s="40"/>
      <c r="C5" s="41" t="s">
        <v>11</v>
      </c>
      <c r="D5" s="42" t="s">
        <v>5</v>
      </c>
      <c r="E5" s="39">
        <f>HYPERLINK(".\html-08-24-2025-04-04-41-AM\www_w3schools_com-Mobile-Normal.report.html", "https://www.w3schools.com/ — Mobile-Normal")</f>
      </c>
    </row>
    <row r="6" spans="2:5" x14ac:dyDescent="0.25">
      <c r="B6" s="43"/>
      <c r="C6" s="44"/>
      <c r="D6" s="45" t="s">
        <v>6</v>
      </c>
      <c r="E6" s="39">
        <f>HYPERLINK(".\html-08-24-2025-04-04-41-AM\www_w3schools_com-Mobile-Incognito.report.html", "https://www.w3schools.com/ — Mobile-Incognito")</f>
      </c>
    </row>
    <row r="7" spans="2:5" x14ac:dyDescent="0.25">
      <c r="B7" s="46"/>
      <c r="C7" s="46"/>
      <c r="E7" s="47"/>
    </row>
    <row r="8" ht="14.4" customHeight="1" spans="2:2" x14ac:dyDescent="0.25">
      <c r="B8" t="s">
        <v>34</v>
      </c>
    </row>
    <row r="9" ht="15" customHeight="1" spans="2:5" x14ac:dyDescent="0.25">
      <c r="B9" t="s">
        <v>35</v>
      </c>
      <c r="C9" s="48">
        <f>E5</f>
        <v>0</v>
      </c>
      <c r="D9" s="49"/>
      <c r="E9" s="50"/>
    </row>
    <row r="10" ht="15" customHeight="1" spans="2:4" x14ac:dyDescent="0.25">
      <c r="B10" t="s">
        <v>36</v>
      </c>
      <c r="C10" s="51" t="s">
        <v>37</v>
      </c>
      <c r="D10" s="52"/>
    </row>
    <row r="11" ht="15" customHeight="1" spans="2:4" x14ac:dyDescent="0.25">
      <c r="B11" t="s">
        <v>38</v>
      </c>
      <c r="C11" s="53" t="s">
        <v>39</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41</v>
      </c>
      <c r="D26" s="56"/>
      <c r="E26" s="52"/>
    </row>
    <row r="27" ht="15" customHeight="1" spans="2:5" x14ac:dyDescent="0.25">
      <c r="B27" t="s">
        <v>38</v>
      </c>
      <c r="C27" s="53" t="s">
        <v>42</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10</v>
      </c>
      <c r="D3" s="38" t="s">
        <v>5</v>
      </c>
      <c r="E3" s="39">
        <f>HYPERLINK(".\html-08-24-2025-04-04-41-AM\www_w3schools_com_programming_index_php-Desktop-Normal.report.html", "https://www.w3schools.com/programming/index.php — Desktop-Normal")</f>
      </c>
    </row>
    <row r="4" spans="2:5" x14ac:dyDescent="0.25">
      <c r="B4" s="40"/>
      <c r="C4" s="41"/>
      <c r="D4" s="42" t="s">
        <v>6</v>
      </c>
      <c r="E4" s="39">
        <f>HYPERLINK(".\html-08-24-2025-04-04-41-AM\www_w3schools_com_programming_index_php-Desktop-Incognito.report.html", "https://www.w3schools.com/programming/index.php — Desktop-Incognito")</f>
      </c>
    </row>
    <row r="5" spans="2:5" x14ac:dyDescent="0.25">
      <c r="B5" s="40"/>
      <c r="C5" s="41" t="s">
        <v>11</v>
      </c>
      <c r="D5" s="42" t="s">
        <v>5</v>
      </c>
      <c r="E5" s="39">
        <f>HYPERLINK(".\html-08-24-2025-04-04-41-AM\www_w3schools_com_programming_index_php-Mobile-Normal.report.html", "https://www.w3schools.com/programming/index.php — Mobile-Normal")</f>
      </c>
    </row>
    <row r="6" spans="2:5" x14ac:dyDescent="0.25">
      <c r="B6" s="43"/>
      <c r="C6" s="44"/>
      <c r="D6" s="45" t="s">
        <v>6</v>
      </c>
      <c r="E6" s="39">
        <f>HYPERLINK(".\html-08-24-2025-04-04-41-AM\www_w3schools_com_programming_index_php-Mobile-Incognito.report.html", "https://www.w3schools.com/programming/index.php — Mobile-Incognito")</f>
      </c>
    </row>
    <row r="7" spans="2:5" x14ac:dyDescent="0.25">
      <c r="B7" s="46"/>
      <c r="C7" s="46"/>
      <c r="E7" s="47"/>
    </row>
    <row r="8" ht="15" customHeight="1" spans="2:2" x14ac:dyDescent="0.25">
      <c r="B8" t="s">
        <v>34</v>
      </c>
    </row>
    <row r="9" ht="15" customHeight="1" spans="2:5" x14ac:dyDescent="0.25">
      <c r="B9" t="s">
        <v>35</v>
      </c>
      <c r="C9" s="48">
        <f>E5</f>
        <v>0</v>
      </c>
      <c r="D9" s="49"/>
      <c r="E9" s="50"/>
    </row>
    <row r="10" ht="15" customHeight="1" spans="2:5" x14ac:dyDescent="0.25">
      <c r="B10" t="s">
        <v>36</v>
      </c>
      <c r="C10" s="51" t="s">
        <v>37</v>
      </c>
      <c r="D10" s="52"/>
      <c r="E10" s="58"/>
    </row>
    <row r="11" ht="15" customHeight="1" spans="2:5" x14ac:dyDescent="0.25">
      <c r="B11" t="s">
        <v>38</v>
      </c>
      <c r="C11" s="53" t="s">
        <v>39</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43</v>
      </c>
      <c r="D26" s="56"/>
      <c r="E26" s="52"/>
    </row>
    <row r="27" ht="15" customHeight="1" spans="2:5" x14ac:dyDescent="0.25">
      <c r="B27" t="s">
        <v>38</v>
      </c>
      <c r="C27" s="53" t="s">
        <v>42</v>
      </c>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10</v>
      </c>
      <c r="D3" s="38" t="s">
        <v>5</v>
      </c>
      <c r="E3" s="39">
        <f>HYPERLINK(".\html-08-24-2025-04-04-41-AM\www_w3schools_com_spaces_index_php-Desktop-Normal.report.html", "https://www.w3schools.com/spaces/index.php — Desktop-Normal")</f>
      </c>
    </row>
    <row r="4" ht="15" customHeight="1" spans="2:5" x14ac:dyDescent="0.25">
      <c r="B4" s="40"/>
      <c r="C4" s="41"/>
      <c r="D4" s="42" t="s">
        <v>6</v>
      </c>
      <c r="E4" s="39">
        <f>HYPERLINK(".\html-08-24-2025-04-04-41-AM\www_w3schools_com_spaces_index_php-Desktop-Incognito.report.html", "https://www.w3schools.com/spaces/index.php — Desktop-Incognito")</f>
      </c>
    </row>
    <row r="5" ht="15" customHeight="1" spans="2:5" x14ac:dyDescent="0.25">
      <c r="B5" s="40"/>
      <c r="C5" s="41" t="s">
        <v>11</v>
      </c>
      <c r="D5" s="42" t="s">
        <v>5</v>
      </c>
      <c r="E5" s="39">
        <f>HYPERLINK(".\html-08-24-2025-04-04-41-AM\www_w3schools_com_spaces_index_php-Mobile-Normal.report.html", "https://www.w3schools.com/spaces/index.php — Mobile-Normal")</f>
      </c>
    </row>
    <row r="6" ht="15" customHeight="1" spans="2:5" x14ac:dyDescent="0.25">
      <c r="B6" s="43"/>
      <c r="C6" s="44"/>
      <c r="D6" s="45" t="s">
        <v>6</v>
      </c>
      <c r="E6" s="39">
        <f>HYPERLINK(".\html-08-24-2025-04-04-41-AM\www_w3schools_com_spaces_index_php-Mobile-Incognito.report.html", "https://www.w3schools.com/spaces/index.php — Mobile-Incognito")</f>
      </c>
    </row>
    <row r="7" spans="2:5" x14ac:dyDescent="0.25">
      <c r="B7" s="46"/>
      <c r="C7" s="46"/>
      <c r="E7" s="47"/>
    </row>
    <row r="8" ht="15" customHeight="1" spans="2:2" x14ac:dyDescent="0.25">
      <c r="B8" t="s">
        <v>34</v>
      </c>
    </row>
    <row r="9" ht="15" customHeight="1" spans="2:5" x14ac:dyDescent="0.25">
      <c r="B9" t="s">
        <v>35</v>
      </c>
      <c r="C9" s="48">
        <f>E5</f>
        <v>0</v>
      </c>
      <c r="D9" s="49"/>
      <c r="E9" s="50"/>
    </row>
    <row r="10" ht="15" customHeight="1" spans="2:5" x14ac:dyDescent="0.25">
      <c r="B10" t="s">
        <v>36</v>
      </c>
      <c r="C10" s="51" t="s">
        <v>44</v>
      </c>
      <c r="D10" s="52"/>
      <c r="E10" s="58"/>
    </row>
    <row r="11" ht="15" customHeight="1" spans="2:5" x14ac:dyDescent="0.25">
      <c r="B11" t="s">
        <v>38</v>
      </c>
      <c r="C11" s="53" t="s">
        <v>45</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46</v>
      </c>
      <c r="D26" s="56"/>
      <c r="E26" s="52"/>
    </row>
    <row r="27" ht="15" customHeight="1" spans="2:5" x14ac:dyDescent="0.25">
      <c r="B27" t="s">
        <v>38</v>
      </c>
      <c r="C27" s="53" t="s">
        <v>47</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48</v>
      </c>
    </row>
    <row r="2" ht="15" customHeight="1" spans="3:4" x14ac:dyDescent="0.25">
      <c r="C2" s="34">
        <f>Summary!D18</f>
        <v>0</v>
      </c>
      <c r="D2" s="35"/>
    </row>
    <row r="3" ht="15" customHeight="1" spans="2:5" x14ac:dyDescent="0.25">
      <c r="B3" s="36" t="str">
        <f>Summary!B19</f>
        <v>04_Fourth Link</v>
      </c>
      <c r="C3" s="37" t="s">
        <v>10</v>
      </c>
      <c r="D3" s="38" t="s">
        <v>5</v>
      </c>
      <c r="E3" s="39">
        <f>HYPERLINK(".\html-08-24-2025-04-04-41-AM\www_w3schools_com_codegame_index_html-Desktop-Normal.report.html", "https://www.w3schools.com/codegame/index.html — Desktop-Normal")</f>
      </c>
    </row>
    <row r="4" ht="15" customHeight="1" spans="2:5" x14ac:dyDescent="0.25">
      <c r="B4" s="40"/>
      <c r="C4" s="41"/>
      <c r="D4" s="42" t="s">
        <v>6</v>
      </c>
      <c r="E4" s="39">
        <f>HYPERLINK(".\html-08-24-2025-04-04-41-AM\www_w3schools_com_codegame_index_html-Desktop-Incognito.report.html", "https://www.w3schools.com/codegame/index.html — Desktop-Incognito")</f>
      </c>
    </row>
    <row r="5" ht="15" customHeight="1" spans="2:5" x14ac:dyDescent="0.25">
      <c r="B5" s="40"/>
      <c r="C5" s="41" t="s">
        <v>11</v>
      </c>
      <c r="D5" s="42" t="s">
        <v>5</v>
      </c>
      <c r="E5" s="39">
        <f>HYPERLINK(".\html-08-24-2025-04-04-41-AM\www_w3schools_com_codegame_index_html-Mobile-Normal.report.html", "https://www.w3schools.com/codegame/index.html — Mobile-Normal")</f>
      </c>
    </row>
    <row r="6" ht="15" customHeight="1" spans="2:5" x14ac:dyDescent="0.25">
      <c r="B6" s="43"/>
      <c r="C6" s="44"/>
      <c r="D6" s="45" t="s">
        <v>6</v>
      </c>
      <c r="E6" s="39">
        <f>HYPERLINK(".\html-08-24-2025-04-04-41-AM\www_w3schools_com_codegame_index_html-Mobile-Incognito.report.html", "https://www.w3schools.com/codegame/index.html — Mobile-Incognito")</f>
      </c>
    </row>
    <row r="7" spans="2:5" x14ac:dyDescent="0.25">
      <c r="B7" s="46"/>
      <c r="C7" s="46"/>
      <c r="E7" s="47"/>
    </row>
    <row r="8" ht="15" customHeight="1" spans="2:2" x14ac:dyDescent="0.25">
      <c r="B8" t="s">
        <v>34</v>
      </c>
    </row>
    <row r="9" ht="15" customHeight="1" spans="2:5" x14ac:dyDescent="0.25">
      <c r="B9" t="s">
        <v>35</v>
      </c>
      <c r="C9" s="48">
        <f>E5</f>
        <v>0</v>
      </c>
      <c r="D9" s="49"/>
      <c r="E9" s="50"/>
    </row>
    <row r="10" ht="15" customHeight="1" spans="2:5" x14ac:dyDescent="0.25">
      <c r="B10" t="s">
        <v>36</v>
      </c>
      <c r="C10" s="51" t="s">
        <v>37</v>
      </c>
      <c r="D10" s="52"/>
      <c r="E10" s="58"/>
    </row>
    <row r="11" ht="15" customHeight="1" spans="2:5" x14ac:dyDescent="0.25">
      <c r="B11" t="s">
        <v>38</v>
      </c>
      <c r="C11" s="53" t="s">
        <v>39</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49</v>
      </c>
      <c r="D26" s="56"/>
      <c r="E26" s="52"/>
    </row>
    <row r="27" ht="15" customHeight="1" spans="2:5" x14ac:dyDescent="0.25">
      <c r="B27" t="s">
        <v>38</v>
      </c>
      <c r="C27" s="53" t="s">
        <v>47</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 ref="C11" r:id="rId2"/>
    <hyperlink ref="C27" r:id="rId3"/>
  </hyperlink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10</v>
      </c>
      <c r="D3" s="38" t="s">
        <v>5</v>
      </c>
      <c r="E3" s="39">
        <f>HYPERLINK(".\html-08-24-2025-04-04-41-AM\www_w3schools_com_cybersecurity_index_php-Desktop-Normal.report.html", "https://www.w3schools.com/cybersecurity/index.php — Desktop-Normal")</f>
      </c>
    </row>
    <row r="4" ht="15" customHeight="1" spans="2:5" x14ac:dyDescent="0.25">
      <c r="B4" s="40"/>
      <c r="C4" s="41"/>
      <c r="D4" s="42" t="s">
        <v>6</v>
      </c>
      <c r="E4" s="39">
        <f>HYPERLINK(".\html-08-24-2025-04-04-41-AM\www_w3schools_com_cybersecurity_index_php-Desktop-Incognito.report.html", "https://www.w3schools.com/cybersecurity/index.php — Desktop-Incognito")</f>
      </c>
    </row>
    <row r="5" ht="15" customHeight="1" spans="2:5" x14ac:dyDescent="0.25">
      <c r="B5" s="40"/>
      <c r="C5" s="41" t="s">
        <v>11</v>
      </c>
      <c r="D5" s="42" t="s">
        <v>5</v>
      </c>
      <c r="E5" s="39">
        <f>HYPERLINK(".\html-08-24-2025-04-04-41-AM\www_w3schools_com_cybersecurity_index_php-Mobile-Normal.report.html", "https://www.w3schools.com/cybersecurity/index.php — Mobile-Normal")</f>
      </c>
    </row>
    <row r="6" ht="15" customHeight="1" spans="2:5" x14ac:dyDescent="0.25">
      <c r="B6" s="43"/>
      <c r="C6" s="44"/>
      <c r="D6" s="45" t="s">
        <v>6</v>
      </c>
      <c r="E6" s="39">
        <f>HYPERLINK(".\html-08-24-2025-04-04-41-AM\www_w3schools_com_cybersecurity_index_php-Mobile-Incognito.report.html", "https://www.w3schools.com/cybersecurity/index.php — Mobile-Incognito")</f>
      </c>
    </row>
    <row r="7" spans="2:5" x14ac:dyDescent="0.25">
      <c r="B7" s="46"/>
      <c r="C7" s="46"/>
      <c r="E7" s="47"/>
    </row>
    <row r="8" ht="15" customHeight="1" spans="2:2" x14ac:dyDescent="0.25">
      <c r="B8" t="s">
        <v>34</v>
      </c>
    </row>
    <row r="9" ht="15" customHeight="1" spans="2:5" x14ac:dyDescent="0.25">
      <c r="B9" t="s">
        <v>35</v>
      </c>
      <c r="C9" s="48">
        <f>E5</f>
        <v>0</v>
      </c>
      <c r="D9" s="49"/>
      <c r="E9" s="50"/>
    </row>
    <row r="10" ht="15" customHeight="1" spans="2:5" x14ac:dyDescent="0.25">
      <c r="B10" t="s">
        <v>36</v>
      </c>
      <c r="C10" s="51" t="s">
        <v>37</v>
      </c>
      <c r="D10" s="52"/>
      <c r="E10" s="58"/>
    </row>
    <row r="11" ht="15" customHeight="1" spans="2:5" x14ac:dyDescent="0.25">
      <c r="B11" t="s">
        <v>38</v>
      </c>
      <c r="C11" s="53" t="s">
        <v>39</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50</v>
      </c>
      <c r="D26" s="56"/>
      <c r="E26" s="52"/>
    </row>
    <row r="27" ht="15" customHeight="1" spans="2:5" x14ac:dyDescent="0.25">
      <c r="B27" t="s">
        <v>38</v>
      </c>
      <c r="C27" s="53" t="s">
        <v>42</v>
      </c>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10</v>
      </c>
      <c r="D3" s="38" t="s">
        <v>5</v>
      </c>
      <c r="E3" s="39">
        <f>HYPERLINK(".\html-08-24-2025-04-04-41-AM\www_w3schools_com_accessibility_index_php-Desktop-Normal.report.html", "https://www.w3schools.com/accessibility/index.php — Desktop-Normal")</f>
      </c>
    </row>
    <row r="4" ht="15" customHeight="1" spans="2:5" x14ac:dyDescent="0.25">
      <c r="B4" s="40"/>
      <c r="C4" s="41"/>
      <c r="D4" s="42" t="s">
        <v>6</v>
      </c>
      <c r="E4" s="39">
        <f>HYPERLINK(".\html-08-24-2025-04-04-41-AM\www_w3schools_com_accessibility_index_php-Desktop-Incognito.report.html", "https://www.w3schools.com/accessibility/index.php — Desktop-Incognito")</f>
      </c>
    </row>
    <row r="5" ht="15" customHeight="1" spans="2:5" x14ac:dyDescent="0.25">
      <c r="B5" s="40"/>
      <c r="C5" s="41" t="s">
        <v>11</v>
      </c>
      <c r="D5" s="42" t="s">
        <v>5</v>
      </c>
      <c r="E5" s="39">
        <f>HYPERLINK(".\html-08-24-2025-04-04-41-AM\www_w3schools_com_accessibility_index_php-Mobile-Normal.report.html", "https://www.w3schools.com/accessibility/index.php — Mobile-Normal")</f>
      </c>
    </row>
    <row r="6" ht="15" customHeight="1" spans="2:5" x14ac:dyDescent="0.25">
      <c r="B6" s="43"/>
      <c r="C6" s="44"/>
      <c r="D6" s="45" t="s">
        <v>6</v>
      </c>
      <c r="E6" s="39">
        <f>HYPERLINK(".\html-08-24-2025-04-04-41-AM\www_w3schools_com_accessibility_index_php-Mobile-Incognito.report.html", "https://www.w3schools.com/accessibility/index.php — Mobile-Incognito")</f>
      </c>
    </row>
    <row r="7" spans="2:5" x14ac:dyDescent="0.25">
      <c r="B7" s="46"/>
      <c r="C7" s="46"/>
      <c r="E7" s="47"/>
    </row>
    <row r="8" ht="15" customHeight="1" spans="2:2" x14ac:dyDescent="0.25">
      <c r="B8" t="s">
        <v>34</v>
      </c>
    </row>
    <row r="9" ht="15" customHeight="1" spans="2:5" x14ac:dyDescent="0.25">
      <c r="B9" t="s">
        <v>35</v>
      </c>
      <c r="C9" s="48">
        <f>E5</f>
        <v>0</v>
      </c>
      <c r="D9" s="49"/>
      <c r="E9" s="60"/>
    </row>
    <row r="10" ht="15" customHeight="1" spans="2:4" x14ac:dyDescent="0.25">
      <c r="B10" t="s">
        <v>36</v>
      </c>
      <c r="C10" s="51" t="s">
        <v>37</v>
      </c>
      <c r="D10" s="52"/>
    </row>
    <row r="11" ht="15" customHeight="1" spans="2:4" x14ac:dyDescent="0.25">
      <c r="B11" t="s">
        <v>38</v>
      </c>
      <c r="C11" s="53" t="s">
        <v>39</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51</v>
      </c>
      <c r="D26" s="56"/>
      <c r="E26" s="52"/>
    </row>
    <row r="27" ht="15" customHeight="1" spans="2:5" x14ac:dyDescent="0.25">
      <c r="B27" t="s">
        <v>38</v>
      </c>
      <c r="C27" s="53" t="s">
        <v>47</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10</v>
      </c>
      <c r="D3" s="38" t="s">
        <v>5</v>
      </c>
      <c r="E3" s="61">
        <f>HYPERLINK(".\html-08-24-2025-04-04-41-AM\www_w3schools_com_academy_index_php-Desktop-Normal.report.html", "https://www.w3schools.com/academy/index.php — Desktop-Normal")</f>
      </c>
    </row>
    <row r="4" spans="2:5" x14ac:dyDescent="0.25">
      <c r="B4" s="40"/>
      <c r="C4" s="41"/>
      <c r="D4" s="42" t="s">
        <v>6</v>
      </c>
      <c r="E4" s="62">
        <f>HYPERLINK(".\html-08-24-2025-04-04-41-AM\www_w3schools_com_academy_index_php-Desktop-Incognito.report.html", "https://www.w3schools.com/academy/index.php — Desktop-Incognito")</f>
      </c>
    </row>
    <row r="5" spans="2:5" x14ac:dyDescent="0.25">
      <c r="B5" s="40"/>
      <c r="C5" s="41" t="s">
        <v>11</v>
      </c>
      <c r="D5" s="42" t="s">
        <v>5</v>
      </c>
      <c r="E5" s="63">
        <f>HYPERLINK(".\html-08-24-2025-04-04-41-AM\www_w3schools_com_academy_index_php-Mobile-Normal.report.html", "https://www.w3schools.com/academy/index.php — Mobile-Normal")</f>
      </c>
    </row>
    <row r="6" spans="2:5" x14ac:dyDescent="0.25">
      <c r="B6" s="43"/>
      <c r="C6" s="44"/>
      <c r="D6" s="45" t="s">
        <v>6</v>
      </c>
      <c r="E6" s="64">
        <f>HYPERLINK(".\html-08-24-2025-04-04-41-AM\www_w3schools_com_academy_index_php-Mobile-Incognito.report.html", "https://www.w3schools.com/academy/index.php — Mobile-Incognito")</f>
      </c>
    </row>
    <row r="7" spans="2:5" x14ac:dyDescent="0.25">
      <c r="B7" s="46"/>
      <c r="C7" s="46"/>
      <c r="E7" s="47"/>
    </row>
    <row r="8" ht="15" customHeight="1" spans="2:2" x14ac:dyDescent="0.25">
      <c r="B8" t="s">
        <v>34</v>
      </c>
    </row>
    <row r="9" ht="15" customHeight="1" spans="2:5" x14ac:dyDescent="0.25">
      <c r="B9" t="s">
        <v>35</v>
      </c>
      <c r="C9" s="48">
        <f>E5</f>
        <v>0</v>
      </c>
      <c r="D9" s="49"/>
      <c r="E9" s="50"/>
    </row>
    <row r="10" ht="15" customHeight="1" spans="2:5" x14ac:dyDescent="0.25">
      <c r="B10" t="s">
        <v>36</v>
      </c>
      <c r="C10" s="51" t="s">
        <v>44</v>
      </c>
      <c r="D10" s="52"/>
      <c r="E10" s="58"/>
    </row>
    <row r="11" ht="15" customHeight="1" spans="2:5" x14ac:dyDescent="0.25">
      <c r="B11" t="s">
        <v>38</v>
      </c>
      <c r="C11" s="53" t="s">
        <v>45</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40</v>
      </c>
    </row>
    <row r="25" ht="15" customHeight="1" spans="2:5" x14ac:dyDescent="0.25">
      <c r="B25" t="s">
        <v>35</v>
      </c>
      <c r="C25" s="48">
        <f>E5</f>
        <v>0</v>
      </c>
      <c r="D25" s="49"/>
      <c r="E25" s="50"/>
    </row>
    <row r="26" ht="15" customHeight="1" spans="2:5" x14ac:dyDescent="0.25">
      <c r="B26" t="s">
        <v>36</v>
      </c>
      <c r="C26" s="51" t="s">
        <v>52</v>
      </c>
      <c r="D26" s="56"/>
      <c r="E26" s="52"/>
    </row>
    <row r="27" ht="15" customHeight="1" spans="2:5" x14ac:dyDescent="0.25">
      <c r="B27" t="s">
        <v>38</v>
      </c>
      <c r="C27" s="53" t="s">
        <v>42</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10</v>
      </c>
      <c r="D3" s="38" t="s">
        <v>5</v>
      </c>
      <c r="E3" s="39">
        <f>HYPERLINK(".\html-08-24-2025-04-04-41-AM\campus_w3schools_com_pages_newsletter-Desktop-Normal.report.html", "https://campus.w3schools.com/pages/newsletter — Desktop-Normal")</f>
      </c>
    </row>
    <row r="4" spans="2:5" x14ac:dyDescent="0.25">
      <c r="B4" s="40"/>
      <c r="C4" s="41"/>
      <c r="D4" s="42" t="s">
        <v>6</v>
      </c>
      <c r="E4" s="39">
        <f>HYPERLINK(".\html-08-24-2025-04-04-41-AM\campus_w3schools_com_pages_newsletter-Desktop-Incognito.report.html", "https://campus.w3schools.com/pages/newsletter — Desktop-Incognito")</f>
      </c>
    </row>
    <row r="5" spans="2:5" x14ac:dyDescent="0.25">
      <c r="B5" s="40"/>
      <c r="C5" s="41" t="s">
        <v>11</v>
      </c>
      <c r="D5" s="42" t="s">
        <v>5</v>
      </c>
      <c r="E5" s="39">
        <f>HYPERLINK(".\html-08-24-2025-04-04-41-AM\campus_w3schools_com_pages_newsletter-Mobile-Normal.report.html", "https://campus.w3schools.com/pages/newsletter — Mobile-Normal")</f>
      </c>
    </row>
    <row r="6" spans="2:5" x14ac:dyDescent="0.25">
      <c r="B6" s="43"/>
      <c r="C6" s="44"/>
      <c r="D6" s="45" t="s">
        <v>6</v>
      </c>
      <c r="E6" s="39">
        <f>HYPERLINK(".\html-08-24-2025-04-04-41-AM\campus_w3schools_com_pages_newsletter-Mobile-Incognito.report.html", "https://campus.w3schools.com/pages/newsletter — Mobile-Incognito")</f>
      </c>
    </row>
    <row r="7" spans="2:5" x14ac:dyDescent="0.25">
      <c r="B7" s="46"/>
      <c r="C7" s="46"/>
      <c r="E7" s="47"/>
    </row>
    <row r="8" spans="2:2" x14ac:dyDescent="0.25">
      <c r="B8" t="s">
        <v>34</v>
      </c>
    </row>
    <row r="9" spans="2:5" x14ac:dyDescent="0.25">
      <c r="B9" t="s">
        <v>35</v>
      </c>
      <c r="C9" s="48">
        <f>E5</f>
        <v>0</v>
      </c>
      <c r="D9" s="49"/>
      <c r="E9" s="50"/>
    </row>
    <row r="10" ht="15" customHeight="1" spans="2:5" x14ac:dyDescent="0.25">
      <c r="B10" t="s">
        <v>36</v>
      </c>
      <c r="C10" s="51" t="s">
        <v>53</v>
      </c>
      <c r="D10" s="52"/>
      <c r="E10" s="58"/>
    </row>
    <row r="11" ht="15" customHeight="1" spans="2:5" x14ac:dyDescent="0.25">
      <c r="B11" t="s">
        <v>38</v>
      </c>
      <c r="C11" s="53" t="s">
        <v>54</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40</v>
      </c>
    </row>
    <row r="25" spans="2:5" x14ac:dyDescent="0.25">
      <c r="B25" t="s">
        <v>35</v>
      </c>
      <c r="C25" s="48">
        <f>E5</f>
        <v>0</v>
      </c>
      <c r="D25" s="49"/>
      <c r="E25" s="50"/>
    </row>
    <row r="26" ht="15" customHeight="1" spans="2:5" x14ac:dyDescent="0.25">
      <c r="B26" t="s">
        <v>36</v>
      </c>
      <c r="C26" s="51" t="s">
        <v>55</v>
      </c>
      <c r="D26" s="56"/>
      <c r="E26" s="52"/>
    </row>
    <row r="27" ht="15" customHeight="1" spans="2:5" x14ac:dyDescent="0.25">
      <c r="B27" t="s">
        <v>38</v>
      </c>
      <c r="C27" s="53" t="s">
        <v>42</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56</v>
      </c>
      <c r="U4" s="66"/>
      <c r="V4" s="66"/>
      <c r="W4" s="66"/>
      <c r="X4" s="66"/>
      <c r="Y4" s="66"/>
      <c r="Z4" s="66"/>
      <c r="AA4" s="66"/>
      <c r="AB4" s="67"/>
      <c r="AC4" s="68"/>
      <c r="AD4" s="68"/>
      <c r="AE4" s="4"/>
      <c r="AF4" s="69" t="s">
        <v>57</v>
      </c>
      <c r="AG4" s="70"/>
      <c r="AH4" s="70"/>
      <c r="AI4" s="70"/>
      <c r="AJ4" s="70"/>
      <c r="AK4" s="70"/>
      <c r="AL4" s="70"/>
      <c r="AM4" s="70"/>
      <c r="AN4" s="71"/>
    </row>
    <row r="5" spans="9:40" x14ac:dyDescent="0.25">
      <c r="I5" s="72" t="str">
        <f>Summary!B7</f>
        <v>01_First Link</v>
      </c>
      <c r="J5" s="73" t="s">
        <v>58</v>
      </c>
      <c r="K5" s="74" t="s">
        <v>59</v>
      </c>
      <c r="L5" t="s">
        <v>60</v>
      </c>
      <c r="M5" s="75" t="s">
        <v>61</v>
      </c>
      <c r="N5" s="74" t="s">
        <v>59</v>
      </c>
      <c r="O5" t="s">
        <v>60</v>
      </c>
      <c r="P5" t="s">
        <v>62</v>
      </c>
      <c r="Q5" t="s">
        <v>63</v>
      </c>
      <c r="T5" s="76" t="s">
        <v>64</v>
      </c>
      <c r="U5" s="76" t="s">
        <v>65</v>
      </c>
      <c r="V5" s="76" t="s">
        <v>66</v>
      </c>
      <c r="W5" s="76" t="s">
        <v>67</v>
      </c>
      <c r="X5" s="76" t="s">
        <v>68</v>
      </c>
      <c r="Y5" s="76" t="s">
        <v>69</v>
      </c>
      <c r="Z5" s="76" t="s">
        <v>70</v>
      </c>
      <c r="AA5" s="76" t="s">
        <v>71</v>
      </c>
      <c r="AB5" s="76" t="s">
        <v>72</v>
      </c>
      <c r="AC5" s="58"/>
      <c r="AD5" s="58"/>
      <c r="AE5" s="58"/>
      <c r="AF5" s="76" t="s">
        <v>73</v>
      </c>
      <c r="AG5" s="76" t="s">
        <v>65</v>
      </c>
      <c r="AH5" s="76" t="s">
        <v>74</v>
      </c>
      <c r="AI5" s="76" t="s">
        <v>67</v>
      </c>
      <c r="AJ5" s="76" t="s">
        <v>68</v>
      </c>
      <c r="AK5" s="76" t="s">
        <v>69</v>
      </c>
      <c r="AL5" s="76" t="s">
        <v>75</v>
      </c>
      <c r="AM5" s="76" t="s">
        <v>71</v>
      </c>
      <c r="AN5" s="76" t="s">
        <v>76</v>
      </c>
    </row>
    <row r="6" spans="9:40" x14ac:dyDescent="0.25">
      <c r="I6" s="74" t="s">
        <v>77</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78</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58</v>
      </c>
      <c r="K9" s="74" t="s">
        <v>59</v>
      </c>
      <c r="L9" t="s">
        <v>60</v>
      </c>
      <c r="M9" s="75" t="s">
        <v>61</v>
      </c>
      <c r="N9" s="74" t="s">
        <v>59</v>
      </c>
      <c r="O9" t="s">
        <v>60</v>
      </c>
      <c r="P9" t="s">
        <v>62</v>
      </c>
      <c r="Q9" t="s">
        <v>63</v>
      </c>
      <c r="T9" s="76" t="s">
        <v>64</v>
      </c>
      <c r="U9" s="76" t="s">
        <v>65</v>
      </c>
      <c r="V9" s="76" t="s">
        <v>66</v>
      </c>
      <c r="W9" s="76" t="s">
        <v>67</v>
      </c>
      <c r="X9" s="76" t="s">
        <v>68</v>
      </c>
      <c r="Y9" s="76" t="s">
        <v>69</v>
      </c>
      <c r="Z9" s="76" t="s">
        <v>70</v>
      </c>
      <c r="AA9" s="76" t="s">
        <v>71</v>
      </c>
      <c r="AB9" s="76" t="s">
        <v>72</v>
      </c>
      <c r="AC9" s="58"/>
      <c r="AD9" s="58"/>
      <c r="AE9" s="58"/>
      <c r="AF9" s="76" t="s">
        <v>73</v>
      </c>
      <c r="AG9" s="76" t="s">
        <v>65</v>
      </c>
      <c r="AH9" s="76" t="s">
        <v>74</v>
      </c>
      <c r="AI9" s="76" t="s">
        <v>67</v>
      </c>
      <c r="AJ9" s="76" t="s">
        <v>68</v>
      </c>
      <c r="AK9" s="76" t="s">
        <v>69</v>
      </c>
      <c r="AL9" s="76" t="s">
        <v>75</v>
      </c>
      <c r="AM9" s="76" t="s">
        <v>71</v>
      </c>
      <c r="AN9" s="76" t="s">
        <v>76</v>
      </c>
    </row>
    <row r="10" spans="9:40" x14ac:dyDescent="0.25">
      <c r="I10" s="74" t="s">
        <v>77</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78</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58</v>
      </c>
      <c r="K13" s="74" t="s">
        <v>59</v>
      </c>
      <c r="L13" t="s">
        <v>60</v>
      </c>
      <c r="M13" s="75" t="s">
        <v>61</v>
      </c>
      <c r="N13" s="74" t="s">
        <v>59</v>
      </c>
      <c r="O13" t="s">
        <v>60</v>
      </c>
      <c r="P13" t="s">
        <v>62</v>
      </c>
      <c r="Q13" t="s">
        <v>63</v>
      </c>
      <c r="T13" s="76" t="s">
        <v>64</v>
      </c>
      <c r="U13" s="76" t="s">
        <v>65</v>
      </c>
      <c r="V13" s="76" t="s">
        <v>66</v>
      </c>
      <c r="W13" s="76" t="s">
        <v>67</v>
      </c>
      <c r="X13" s="76" t="s">
        <v>68</v>
      </c>
      <c r="Y13" s="76" t="s">
        <v>69</v>
      </c>
      <c r="Z13" s="76" t="s">
        <v>70</v>
      </c>
      <c r="AA13" s="76" t="s">
        <v>71</v>
      </c>
      <c r="AB13" s="76" t="s">
        <v>72</v>
      </c>
      <c r="AC13" s="58"/>
      <c r="AD13" s="58"/>
      <c r="AE13" s="58"/>
      <c r="AF13" s="76" t="s">
        <v>73</v>
      </c>
      <c r="AG13" s="76" t="s">
        <v>65</v>
      </c>
      <c r="AH13" s="76" t="s">
        <v>74</v>
      </c>
      <c r="AI13" s="76" t="s">
        <v>67</v>
      </c>
      <c r="AJ13" s="76" t="s">
        <v>68</v>
      </c>
      <c r="AK13" s="76" t="s">
        <v>69</v>
      </c>
      <c r="AL13" s="76" t="s">
        <v>75</v>
      </c>
      <c r="AM13" s="76" t="s">
        <v>71</v>
      </c>
      <c r="AN13" s="76" t="s">
        <v>76</v>
      </c>
    </row>
    <row r="14" spans="9:40" x14ac:dyDescent="0.25">
      <c r="I14" s="74" t="s">
        <v>77</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78</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58</v>
      </c>
      <c r="K17" s="74" t="s">
        <v>59</v>
      </c>
      <c r="L17" t="s">
        <v>60</v>
      </c>
      <c r="M17" s="75" t="s">
        <v>61</v>
      </c>
      <c r="N17" s="74" t="s">
        <v>59</v>
      </c>
      <c r="O17" t="s">
        <v>60</v>
      </c>
      <c r="P17" t="s">
        <v>62</v>
      </c>
      <c r="Q17" t="s">
        <v>63</v>
      </c>
      <c r="T17" s="76" t="s">
        <v>64</v>
      </c>
      <c r="U17" s="76" t="s">
        <v>65</v>
      </c>
      <c r="V17" s="76" t="s">
        <v>66</v>
      </c>
      <c r="W17" s="76" t="s">
        <v>67</v>
      </c>
      <c r="X17" s="76" t="s">
        <v>68</v>
      </c>
      <c r="Y17" s="76" t="s">
        <v>69</v>
      </c>
      <c r="Z17" s="76" t="s">
        <v>70</v>
      </c>
      <c r="AA17" s="76" t="s">
        <v>71</v>
      </c>
      <c r="AB17" s="76" t="s">
        <v>72</v>
      </c>
      <c r="AC17" s="58"/>
      <c r="AD17" s="58"/>
      <c r="AE17" s="58"/>
      <c r="AF17" s="76" t="s">
        <v>73</v>
      </c>
      <c r="AG17" s="76" t="s">
        <v>65</v>
      </c>
      <c r="AH17" s="76" t="s">
        <v>74</v>
      </c>
      <c r="AI17" s="76" t="s">
        <v>67</v>
      </c>
      <c r="AJ17" s="76" t="s">
        <v>68</v>
      </c>
      <c r="AK17" s="76" t="s">
        <v>69</v>
      </c>
      <c r="AL17" s="76" t="s">
        <v>75</v>
      </c>
      <c r="AM17" s="76" t="s">
        <v>71</v>
      </c>
      <c r="AN17" s="76" t="s">
        <v>76</v>
      </c>
    </row>
    <row r="18" spans="9:40" x14ac:dyDescent="0.25">
      <c r="I18" s="74" t="s">
        <v>77</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78</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58</v>
      </c>
      <c r="K21" s="74" t="s">
        <v>59</v>
      </c>
      <c r="L21" t="s">
        <v>60</v>
      </c>
      <c r="M21" s="75" t="s">
        <v>61</v>
      </c>
      <c r="N21" s="74" t="s">
        <v>59</v>
      </c>
      <c r="O21" t="s">
        <v>60</v>
      </c>
      <c r="P21" t="s">
        <v>62</v>
      </c>
      <c r="Q21" t="s">
        <v>63</v>
      </c>
      <c r="T21" s="76" t="s">
        <v>64</v>
      </c>
      <c r="U21" s="76" t="s">
        <v>65</v>
      </c>
      <c r="V21" s="76" t="s">
        <v>66</v>
      </c>
      <c r="W21" s="76" t="s">
        <v>67</v>
      </c>
      <c r="X21" s="76" t="s">
        <v>68</v>
      </c>
      <c r="Y21" s="76" t="s">
        <v>69</v>
      </c>
      <c r="Z21" s="76" t="s">
        <v>70</v>
      </c>
      <c r="AA21" s="76" t="s">
        <v>71</v>
      </c>
      <c r="AB21" s="76" t="s">
        <v>72</v>
      </c>
      <c r="AC21" s="58"/>
      <c r="AD21" s="58"/>
      <c r="AE21" s="58"/>
      <c r="AF21" s="76" t="s">
        <v>73</v>
      </c>
      <c r="AG21" s="76" t="s">
        <v>65</v>
      </c>
      <c r="AH21" s="76" t="s">
        <v>74</v>
      </c>
      <c r="AI21" s="76" t="s">
        <v>67</v>
      </c>
      <c r="AJ21" s="76" t="s">
        <v>68</v>
      </c>
      <c r="AK21" s="76" t="s">
        <v>69</v>
      </c>
      <c r="AL21" s="76" t="s">
        <v>75</v>
      </c>
      <c r="AM21" s="76" t="s">
        <v>71</v>
      </c>
      <c r="AN21" s="76" t="s">
        <v>76</v>
      </c>
    </row>
    <row r="22" spans="9:40" x14ac:dyDescent="0.25">
      <c r="I22" s="74" t="s">
        <v>77</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78</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58</v>
      </c>
      <c r="K25" s="74" t="s">
        <v>59</v>
      </c>
      <c r="L25" t="s">
        <v>60</v>
      </c>
      <c r="M25" s="75" t="s">
        <v>61</v>
      </c>
      <c r="N25" s="74" t="s">
        <v>59</v>
      </c>
      <c r="O25" t="s">
        <v>60</v>
      </c>
      <c r="P25" t="s">
        <v>62</v>
      </c>
      <c r="Q25" t="s">
        <v>63</v>
      </c>
      <c r="T25" s="76" t="s">
        <v>64</v>
      </c>
      <c r="U25" s="76" t="s">
        <v>65</v>
      </c>
      <c r="V25" s="76" t="s">
        <v>66</v>
      </c>
      <c r="W25" s="76" t="s">
        <v>67</v>
      </c>
      <c r="X25" s="76" t="s">
        <v>68</v>
      </c>
      <c r="Y25" s="76" t="s">
        <v>69</v>
      </c>
      <c r="Z25" s="76" t="s">
        <v>70</v>
      </c>
      <c r="AA25" s="76" t="s">
        <v>71</v>
      </c>
      <c r="AB25" s="76" t="s">
        <v>72</v>
      </c>
      <c r="AC25" s="58"/>
      <c r="AD25" s="58"/>
      <c r="AE25" s="58"/>
      <c r="AF25" s="76" t="s">
        <v>73</v>
      </c>
      <c r="AG25" s="76" t="s">
        <v>65</v>
      </c>
      <c r="AH25" s="76" t="s">
        <v>74</v>
      </c>
      <c r="AI25" s="76" t="s">
        <v>67</v>
      </c>
      <c r="AJ25" s="76" t="s">
        <v>68</v>
      </c>
      <c r="AK25" s="76" t="s">
        <v>69</v>
      </c>
      <c r="AL25" s="76" t="s">
        <v>75</v>
      </c>
      <c r="AM25" s="76" t="s">
        <v>71</v>
      </c>
      <c r="AN25" s="76" t="s">
        <v>76</v>
      </c>
    </row>
    <row r="26" spans="9:40" x14ac:dyDescent="0.25">
      <c r="I26" s="74" t="s">
        <v>77</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78</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58</v>
      </c>
      <c r="K29" s="74" t="s">
        <v>59</v>
      </c>
      <c r="L29" t="s">
        <v>60</v>
      </c>
      <c r="M29" s="75" t="s">
        <v>61</v>
      </c>
      <c r="N29" s="74" t="s">
        <v>59</v>
      </c>
      <c r="O29" t="s">
        <v>60</v>
      </c>
      <c r="P29" t="s">
        <v>62</v>
      </c>
      <c r="Q29" t="s">
        <v>63</v>
      </c>
      <c r="T29" s="76" t="s">
        <v>64</v>
      </c>
      <c r="U29" s="76" t="s">
        <v>65</v>
      </c>
      <c r="V29" s="76" t="s">
        <v>66</v>
      </c>
      <c r="W29" s="76" t="s">
        <v>67</v>
      </c>
      <c r="X29" s="76" t="s">
        <v>68</v>
      </c>
      <c r="Y29" s="76" t="s">
        <v>69</v>
      </c>
      <c r="Z29" s="76" t="s">
        <v>70</v>
      </c>
      <c r="AA29" s="76" t="s">
        <v>71</v>
      </c>
      <c r="AB29" s="76" t="s">
        <v>72</v>
      </c>
      <c r="AC29" s="58"/>
      <c r="AD29" s="58"/>
      <c r="AE29" s="58"/>
      <c r="AF29" s="76" t="s">
        <v>73</v>
      </c>
      <c r="AG29" s="76" t="s">
        <v>65</v>
      </c>
      <c r="AH29" s="76" t="s">
        <v>74</v>
      </c>
      <c r="AI29" s="76" t="s">
        <v>67</v>
      </c>
      <c r="AJ29" s="76" t="s">
        <v>68</v>
      </c>
      <c r="AK29" s="76" t="s">
        <v>69</v>
      </c>
      <c r="AL29" s="76" t="s">
        <v>75</v>
      </c>
      <c r="AM29" s="76" t="s">
        <v>71</v>
      </c>
      <c r="AN29" s="76" t="s">
        <v>76</v>
      </c>
    </row>
    <row r="30" spans="9:40" x14ac:dyDescent="0.25">
      <c r="I30" s="74" t="s">
        <v>77</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78</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58</v>
      </c>
      <c r="K33" s="74" t="s">
        <v>59</v>
      </c>
      <c r="L33" t="s">
        <v>60</v>
      </c>
      <c r="M33" s="75" t="s">
        <v>61</v>
      </c>
      <c r="N33" s="74" t="s">
        <v>59</v>
      </c>
      <c r="O33" t="s">
        <v>60</v>
      </c>
      <c r="P33" t="s">
        <v>62</v>
      </c>
      <c r="Q33" t="s">
        <v>63</v>
      </c>
      <c r="T33" s="76" t="s">
        <v>64</v>
      </c>
      <c r="U33" s="76" t="s">
        <v>65</v>
      </c>
      <c r="V33" s="76" t="s">
        <v>66</v>
      </c>
      <c r="W33" s="76" t="s">
        <v>67</v>
      </c>
      <c r="X33" s="76" t="s">
        <v>68</v>
      </c>
      <c r="Y33" s="76" t="s">
        <v>69</v>
      </c>
      <c r="Z33" s="76" t="s">
        <v>70</v>
      </c>
      <c r="AA33" s="76" t="s">
        <v>71</v>
      </c>
      <c r="AB33" s="76" t="s">
        <v>72</v>
      </c>
      <c r="AC33" s="58"/>
      <c r="AD33" s="58"/>
      <c r="AE33" s="58"/>
      <c r="AF33" s="76" t="s">
        <v>73</v>
      </c>
      <c r="AG33" s="76" t="s">
        <v>65</v>
      </c>
      <c r="AH33" s="76" t="s">
        <v>74</v>
      </c>
      <c r="AI33" s="76" t="s">
        <v>67</v>
      </c>
      <c r="AJ33" s="76" t="s">
        <v>68</v>
      </c>
      <c r="AK33" s="76" t="s">
        <v>69</v>
      </c>
      <c r="AL33" s="76" t="s">
        <v>75</v>
      </c>
      <c r="AM33" s="76" t="s">
        <v>71</v>
      </c>
      <c r="AN33" s="76" t="s">
        <v>76</v>
      </c>
    </row>
    <row r="34" spans="9:40" x14ac:dyDescent="0.25">
      <c r="I34" s="74" t="s">
        <v>77</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78</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79</v>
      </c>
      <c r="U37" s="82"/>
      <c r="V37" s="82"/>
      <c r="W37" s="82"/>
      <c r="X37" s="82"/>
      <c r="Y37" s="82"/>
      <c r="Z37" s="82"/>
      <c r="AA37" s="82"/>
      <c r="AB37" s="82"/>
      <c r="AC37" s="82"/>
      <c r="AD37" s="83"/>
      <c r="AF37" s="84" t="s">
        <v>79</v>
      </c>
      <c r="AG37" s="85"/>
      <c r="AH37" s="85"/>
      <c r="AI37" s="85"/>
      <c r="AJ37" s="85"/>
      <c r="AK37" s="85"/>
      <c r="AL37" s="85"/>
      <c r="AM37" s="85"/>
      <c r="AN37" s="85"/>
      <c r="AO37" s="85"/>
      <c r="AP37" s="86"/>
    </row>
    <row r="38" spans="9:42" x14ac:dyDescent="0.25">
      <c r="I38" s="74" t="s">
        <v>80</v>
      </c>
      <c r="J38" s="76" t="s">
        <v>58</v>
      </c>
      <c r="K38" s="76" t="s">
        <v>61</v>
      </c>
      <c r="L38" s="78"/>
      <c r="M38" s="78"/>
      <c r="N38" s="78"/>
      <c r="O38" s="78"/>
      <c r="T38" s="87" t="s">
        <v>81</v>
      </c>
      <c r="U38" s="58" t="s">
        <v>67</v>
      </c>
      <c r="V38" s="58" t="s">
        <v>82</v>
      </c>
      <c r="W38" s="58" t="s">
        <v>83</v>
      </c>
      <c r="X38" s="58" t="s">
        <v>84</v>
      </c>
      <c r="Y38" s="58" t="s">
        <v>85</v>
      </c>
      <c r="Z38" s="58" t="s">
        <v>86</v>
      </c>
      <c r="AA38" s="58" t="s">
        <v>3</v>
      </c>
      <c r="AB38" s="58" t="s">
        <v>87</v>
      </c>
      <c r="AC38" s="58" t="s">
        <v>4</v>
      </c>
      <c r="AD38" s="88" t="s">
        <v>88</v>
      </c>
      <c r="AF38" s="89" t="s">
        <v>89</v>
      </c>
      <c r="AG38" t="s">
        <v>67</v>
      </c>
      <c r="AH38" t="s">
        <v>90</v>
      </c>
      <c r="AI38" t="s">
        <v>91</v>
      </c>
      <c r="AJ38" t="s">
        <v>84</v>
      </c>
      <c r="AK38" t="s">
        <v>85</v>
      </c>
      <c r="AL38" t="s">
        <v>86</v>
      </c>
      <c r="AM38" t="s">
        <v>3</v>
      </c>
      <c r="AN38" t="s">
        <v>87</v>
      </c>
      <c r="AO38" t="s">
        <v>4</v>
      </c>
      <c r="AP38" s="90" t="s">
        <v>88</v>
      </c>
    </row>
    <row r="39" spans="9:42" x14ac:dyDescent="0.25">
      <c r="I39" s="74" t="s">
        <v>92</v>
      </c>
      <c r="J39" s="79">
        <f>MAX(K6,N6,K10,N10,K14,N14,K18,N18,K18,K22,N22,K26,N26,K30,N30,K34,N34)</f>
        <v>0</v>
      </c>
      <c r="K39" s="79">
        <f>MIN(K6,N6,K10,N10,K14,N14,K18,N18,K18,K22,N22,K26,N26,K30,N30,K34,N34)</f>
        <v>0</v>
      </c>
      <c r="L39" s="78"/>
      <c r="M39" s="78"/>
      <c r="N39" s="78"/>
      <c r="O39" s="78"/>
      <c r="T39" s="91">
        <f>IF(J7="with and without cache", K6, -1)</f>
        <v>0</v>
      </c>
      <c r="U39" s="58" t="s">
        <v>93</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94</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95</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96</v>
      </c>
      <c r="V40" s="58">
        <v>0</v>
      </c>
      <c r="W40" s="58" t="s">
        <v>97</v>
      </c>
      <c r="X40" s="58" t="s">
        <v>96</v>
      </c>
      <c r="Y40" s="58" t="s">
        <v>14</v>
      </c>
      <c r="Z40" s="58"/>
      <c r="AA40" s="58" t="s">
        <v>98</v>
      </c>
      <c r="AB40" s="58"/>
      <c r="AC40" s="58" t="s">
        <v>10</v>
      </c>
      <c r="AD40" s="88" t="s">
        <v>99</v>
      </c>
      <c r="AF40" s="92">
        <f>IF(M11="with and without cache", N10, FALSE)</f>
        <v>0</v>
      </c>
      <c r="AG40" t="s">
        <v>100</v>
      </c>
      <c r="AH40">
        <v>0</v>
      </c>
      <c r="AI40" t="s">
        <v>101</v>
      </c>
      <c r="AJ40" t="s">
        <v>100</v>
      </c>
      <c r="AK40" t="s">
        <v>14</v>
      </c>
      <c r="AM40" t="s">
        <v>98</v>
      </c>
      <c r="AO40" t="s">
        <v>10</v>
      </c>
      <c r="AP40" s="90" t="s">
        <v>99</v>
      </c>
    </row>
    <row r="41" spans="9:42" x14ac:dyDescent="0.25">
      <c r="I41" s="74" t="s">
        <v>102</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103</v>
      </c>
      <c r="V41" s="58">
        <v>0</v>
      </c>
      <c r="W41" s="58" t="s">
        <v>104</v>
      </c>
      <c r="X41" s="58" t="s">
        <v>103</v>
      </c>
      <c r="Y41" s="58" t="s">
        <v>17</v>
      </c>
      <c r="Z41" s="58"/>
      <c r="AA41" s="58" t="s">
        <v>105</v>
      </c>
      <c r="AB41" s="58"/>
      <c r="AC41" s="58" t="s">
        <v>10</v>
      </c>
      <c r="AD41" s="88" t="s">
        <v>99</v>
      </c>
      <c r="AF41" s="92">
        <f>IF(M15="with and without cache", N14, FALSE)</f>
        <v>0</v>
      </c>
      <c r="AG41" s="93" t="s">
        <v>106</v>
      </c>
      <c r="AH41">
        <v>0</v>
      </c>
      <c r="AI41" t="s">
        <v>107</v>
      </c>
      <c r="AJ41" t="s">
        <v>106</v>
      </c>
      <c r="AK41" t="s">
        <v>17</v>
      </c>
      <c r="AM41" t="s">
        <v>105</v>
      </c>
      <c r="AO41" t="s">
        <v>10</v>
      </c>
      <c r="AP41" s="90" t="s">
        <v>99</v>
      </c>
    </row>
    <row r="42" spans="9:42" x14ac:dyDescent="0.25">
      <c r="I42" s="74" t="s">
        <v>108</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109</v>
      </c>
      <c r="V42" s="58">
        <v>0</v>
      </c>
      <c r="W42" s="58" t="s">
        <v>110</v>
      </c>
      <c r="X42" s="58" t="s">
        <v>109</v>
      </c>
      <c r="Y42" s="58" t="s">
        <v>19</v>
      </c>
      <c r="Z42" s="58"/>
      <c r="AA42" s="58" t="s">
        <v>111</v>
      </c>
      <c r="AB42" s="58"/>
      <c r="AC42" s="58" t="s">
        <v>10</v>
      </c>
      <c r="AD42" s="88" t="s">
        <v>99</v>
      </c>
      <c r="AF42" s="92">
        <f>IF(M19="with and without cache", N18, FALSE)</f>
        <v>0</v>
      </c>
      <c r="AG42" t="s">
        <v>112</v>
      </c>
      <c r="AH42">
        <v>0</v>
      </c>
      <c r="AI42" t="s">
        <v>113</v>
      </c>
      <c r="AJ42" t="s">
        <v>112</v>
      </c>
      <c r="AK42" t="s">
        <v>19</v>
      </c>
      <c r="AM42" t="s">
        <v>111</v>
      </c>
      <c r="AO42" t="s">
        <v>10</v>
      </c>
      <c r="AP42" s="90" t="s">
        <v>99</v>
      </c>
    </row>
    <row r="43" spans="9:42" x14ac:dyDescent="0.25">
      <c r="I43" s="74" t="s">
        <v>114</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115</v>
      </c>
      <c r="V43" s="58">
        <v>0</v>
      </c>
      <c r="W43" s="58" t="s">
        <v>116</v>
      </c>
      <c r="X43" s="58" t="s">
        <v>115</v>
      </c>
      <c r="Y43" s="58" t="s">
        <v>21</v>
      </c>
      <c r="Z43" s="58"/>
      <c r="AA43" s="58" t="s">
        <v>117</v>
      </c>
      <c r="AB43" s="58"/>
      <c r="AC43" s="58" t="s">
        <v>10</v>
      </c>
      <c r="AD43" s="88" t="s">
        <v>99</v>
      </c>
      <c r="AF43" s="92">
        <f>IF(M23="with and without cache", N22, FALSE)</f>
        <v>0</v>
      </c>
      <c r="AG43" t="s">
        <v>118</v>
      </c>
      <c r="AH43">
        <v>0</v>
      </c>
      <c r="AI43" t="s">
        <v>119</v>
      </c>
      <c r="AJ43" t="s">
        <v>118</v>
      </c>
      <c r="AK43" t="s">
        <v>21</v>
      </c>
      <c r="AM43" t="s">
        <v>117</v>
      </c>
      <c r="AO43" t="s">
        <v>10</v>
      </c>
      <c r="AP43" s="90" t="s">
        <v>99</v>
      </c>
    </row>
    <row r="44" spans="9:42" x14ac:dyDescent="0.25">
      <c r="I44" s="74" t="s">
        <v>120</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121</v>
      </c>
      <c r="V44" s="58">
        <v>0</v>
      </c>
      <c r="W44" s="58" t="s">
        <v>122</v>
      </c>
      <c r="X44" s="58" t="s">
        <v>121</v>
      </c>
      <c r="Y44" s="58" t="s">
        <v>23</v>
      </c>
      <c r="Z44" s="58"/>
      <c r="AA44" s="58" t="s">
        <v>123</v>
      </c>
      <c r="AB44" s="58"/>
      <c r="AC44" s="58" t="s">
        <v>10</v>
      </c>
      <c r="AD44" s="88" t="s">
        <v>99</v>
      </c>
      <c r="AF44" s="92" t="b">
        <f>IF(M26="with and without cache", N26, FALSE)</f>
        <v>0</v>
      </c>
      <c r="AG44" t="s">
        <v>124</v>
      </c>
      <c r="AH44">
        <v>0</v>
      </c>
      <c r="AI44" t="s">
        <v>125</v>
      </c>
      <c r="AJ44" t="s">
        <v>126</v>
      </c>
      <c r="AK44" t="s">
        <v>25</v>
      </c>
      <c r="AM44" t="s">
        <v>127</v>
      </c>
      <c r="AO44" t="s">
        <v>10</v>
      </c>
      <c r="AP44" s="90" t="s">
        <v>99</v>
      </c>
    </row>
    <row r="45" spans="9:42" x14ac:dyDescent="0.25">
      <c r="I45" s="74" t="s">
        <v>128</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129</v>
      </c>
      <c r="V45" s="58">
        <v>0</v>
      </c>
      <c r="W45" s="58" t="s">
        <v>130</v>
      </c>
      <c r="X45" s="58" t="s">
        <v>129</v>
      </c>
      <c r="Y45" s="58" t="s">
        <v>25</v>
      </c>
      <c r="Z45" s="58"/>
      <c r="AA45" s="58" t="s">
        <v>127</v>
      </c>
      <c r="AB45" s="58"/>
      <c r="AC45" s="58" t="s">
        <v>10</v>
      </c>
      <c r="AD45" s="88" t="s">
        <v>99</v>
      </c>
      <c r="AF45" s="92">
        <f>IF(M31="with and without cache", N30, FALSE)</f>
        <v>0</v>
      </c>
      <c r="AG45" t="s">
        <v>126</v>
      </c>
      <c r="AH45">
        <v>0</v>
      </c>
      <c r="AI45" t="s">
        <v>131</v>
      </c>
      <c r="AJ45" t="s">
        <v>132</v>
      </c>
      <c r="AK45" t="s">
        <v>27</v>
      </c>
      <c r="AM45" t="s">
        <v>133</v>
      </c>
      <c r="AO45" t="s">
        <v>10</v>
      </c>
      <c r="AP45" s="90" t="s">
        <v>99</v>
      </c>
    </row>
    <row r="46" spans="9:42" x14ac:dyDescent="0.25">
      <c r="I46" s="74" t="s">
        <v>134</v>
      </c>
      <c r="J46" s="76" t="str">
        <f>RIGHT(J45, LEN(J45) - 3)</f>
        <v>First Link</v>
      </c>
      <c r="K46" s="76" t="str">
        <f>RIGHT(K45, LEN(K45) - 3)</f>
        <v>First Link</v>
      </c>
      <c r="T46" s="94">
        <f>IF(J35="with and without cache", K34, FALSE)</f>
        <v>0</v>
      </c>
      <c r="U46" s="95" t="s">
        <v>135</v>
      </c>
      <c r="V46" s="95">
        <v>0</v>
      </c>
      <c r="W46" s="95" t="s">
        <v>136</v>
      </c>
      <c r="X46" s="95" t="s">
        <v>135</v>
      </c>
      <c r="Y46" s="95" t="s">
        <v>27</v>
      </c>
      <c r="Z46" s="95"/>
      <c r="AA46" s="95" t="s">
        <v>133</v>
      </c>
      <c r="AB46" s="95"/>
      <c r="AC46" s="95" t="s">
        <v>10</v>
      </c>
      <c r="AD46" s="96" t="s">
        <v>99</v>
      </c>
      <c r="AF46" s="97">
        <f>IF(M35="with and without cache", N34, FALSE)</f>
        <v>0</v>
      </c>
      <c r="AG46" s="98" t="s">
        <v>132</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137</v>
      </c>
      <c r="U48" s="82"/>
      <c r="V48" s="82"/>
      <c r="W48" s="82"/>
      <c r="X48" s="82"/>
      <c r="Y48" s="82"/>
      <c r="Z48" s="82"/>
      <c r="AA48" s="82"/>
      <c r="AB48" s="82"/>
      <c r="AC48" s="82"/>
      <c r="AD48" s="83"/>
      <c r="AF48" s="84" t="s">
        <v>137</v>
      </c>
      <c r="AG48" s="85"/>
      <c r="AH48" s="85"/>
      <c r="AI48" s="85"/>
      <c r="AJ48" s="85"/>
      <c r="AK48" s="85"/>
      <c r="AL48" s="85"/>
      <c r="AM48" s="85"/>
      <c r="AN48" s="85"/>
      <c r="AO48" s="85"/>
      <c r="AP48" s="86"/>
    </row>
    <row r="49" spans="20:42" x14ac:dyDescent="0.25">
      <c r="T49" s="87" t="s">
        <v>81</v>
      </c>
      <c r="U49" s="58" t="s">
        <v>67</v>
      </c>
      <c r="V49" s="58" t="s">
        <v>82</v>
      </c>
      <c r="W49" s="58" t="s">
        <v>83</v>
      </c>
      <c r="X49" s="58" t="s">
        <v>84</v>
      </c>
      <c r="Y49" s="58" t="s">
        <v>85</v>
      </c>
      <c r="Z49" s="58" t="s">
        <v>86</v>
      </c>
      <c r="AA49" s="58" t="s">
        <v>3</v>
      </c>
      <c r="AB49" s="58" t="s">
        <v>87</v>
      </c>
      <c r="AC49" s="58" t="s">
        <v>4</v>
      </c>
      <c r="AD49" s="88" t="s">
        <v>88</v>
      </c>
      <c r="AF49" s="87" t="s">
        <v>81</v>
      </c>
      <c r="AG49" s="58" t="s">
        <v>67</v>
      </c>
      <c r="AH49" s="58" t="s">
        <v>82</v>
      </c>
      <c r="AI49" s="58" t="s">
        <v>83</v>
      </c>
      <c r="AJ49" s="58" t="s">
        <v>84</v>
      </c>
      <c r="AK49" s="58" t="s">
        <v>85</v>
      </c>
      <c r="AL49" s="58" t="s">
        <v>86</v>
      </c>
      <c r="AM49" s="58" t="s">
        <v>3</v>
      </c>
      <c r="AN49" s="58" t="s">
        <v>87</v>
      </c>
      <c r="AO49" s="58" t="s">
        <v>4</v>
      </c>
      <c r="AP49" s="88" t="s">
        <v>88</v>
      </c>
    </row>
    <row r="50" spans="20:42" x14ac:dyDescent="0.25">
      <c r="T50" s="87">
        <f>IF(OR(J7="with cache", J7="without cache"), K6, -1)</f>
        <v>-1</v>
      </c>
      <c r="U50" s="58" t="s">
        <v>93</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94</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96</v>
      </c>
      <c r="V51" s="58"/>
      <c r="W51" s="58"/>
      <c r="X51" s="58"/>
      <c r="Y51" s="58"/>
      <c r="Z51" s="58"/>
      <c r="AA51" s="58"/>
      <c r="AB51" s="58"/>
      <c r="AC51" s="58"/>
      <c r="AD51" s="88"/>
      <c r="AF51" s="87" t="b">
        <f>IF(OR(M11="with cache", M11="without cache"), N10, FALSE)</f>
        <v>0</v>
      </c>
      <c r="AG51" t="s">
        <v>100</v>
      </c>
      <c r="AH51" s="58"/>
      <c r="AI51" s="58"/>
      <c r="AJ51" s="58"/>
      <c r="AK51" s="58"/>
      <c r="AL51" s="58"/>
      <c r="AM51" s="58"/>
      <c r="AN51" s="58"/>
      <c r="AO51" s="58"/>
      <c r="AP51" s="88"/>
    </row>
    <row r="52" spans="20:42" x14ac:dyDescent="0.25">
      <c r="T52" s="87" t="b">
        <f>IF(OR(J15="with cache", J15="without cache"), K14, FALSE)</f>
        <v>0</v>
      </c>
      <c r="U52" s="78" t="s">
        <v>103</v>
      </c>
      <c r="V52" s="58"/>
      <c r="W52" s="58"/>
      <c r="X52" s="58"/>
      <c r="Y52" s="58"/>
      <c r="Z52" s="58"/>
      <c r="AA52" s="58"/>
      <c r="AB52" s="58"/>
      <c r="AC52" s="58"/>
      <c r="AD52" s="88"/>
      <c r="AF52" s="87" t="b">
        <f>IF(OR(M15="with cache", M15="without cache"), N14, FALSE)</f>
        <v>0</v>
      </c>
      <c r="AG52" s="93" t="s">
        <v>106</v>
      </c>
      <c r="AH52" s="58"/>
      <c r="AI52" s="58"/>
      <c r="AJ52" s="58"/>
      <c r="AK52" s="58"/>
      <c r="AL52" s="58"/>
      <c r="AM52" s="58"/>
      <c r="AN52" s="58"/>
      <c r="AO52" s="58"/>
      <c r="AP52" s="88"/>
    </row>
    <row r="53" spans="20:42" x14ac:dyDescent="0.25">
      <c r="T53" s="87" t="b">
        <f>IF(OR(J19="with cache", J19="without cache"), K18, FALSE)</f>
        <v>0</v>
      </c>
      <c r="U53" s="58" t="s">
        <v>109</v>
      </c>
      <c r="V53" s="58"/>
      <c r="W53" s="58"/>
      <c r="X53" s="58"/>
      <c r="Y53" s="58"/>
      <c r="Z53" s="58"/>
      <c r="AA53" s="58"/>
      <c r="AB53" s="58"/>
      <c r="AC53" s="58"/>
      <c r="AD53" s="88"/>
      <c r="AF53" s="87" t="b">
        <f>IF(OR(M19="with cache", M19="without cache"), N18, FALSE)</f>
        <v>0</v>
      </c>
      <c r="AG53" t="s">
        <v>112</v>
      </c>
      <c r="AH53" s="58"/>
      <c r="AI53" s="58"/>
      <c r="AJ53" s="58"/>
      <c r="AK53" s="58"/>
      <c r="AL53" s="58"/>
      <c r="AM53" s="58"/>
      <c r="AN53" s="58"/>
      <c r="AO53" s="58"/>
      <c r="AP53" s="88"/>
    </row>
    <row r="54" spans="20:42" x14ac:dyDescent="0.25">
      <c r="T54" s="87" t="b">
        <f>IF(OR(J23="with cache", J23="without cache"), K22, FALSE)</f>
        <v>0</v>
      </c>
      <c r="U54" s="58" t="s">
        <v>115</v>
      </c>
      <c r="V54" s="58"/>
      <c r="W54" s="58"/>
      <c r="X54" s="58"/>
      <c r="Y54" s="58"/>
      <c r="Z54" s="58"/>
      <c r="AA54" s="58"/>
      <c r="AB54" s="58"/>
      <c r="AC54" s="58"/>
      <c r="AD54" s="88"/>
      <c r="AF54" s="87" t="b">
        <f>IF(OR(M23="with cache", M23="without cache"), N22, FALSE)</f>
        <v>0</v>
      </c>
      <c r="AG54" t="s">
        <v>118</v>
      </c>
      <c r="AH54" s="58"/>
      <c r="AI54" s="58"/>
      <c r="AJ54" s="58"/>
      <c r="AK54" s="58"/>
      <c r="AL54" s="58"/>
      <c r="AM54" s="58"/>
      <c r="AN54" s="58"/>
      <c r="AO54" s="58"/>
      <c r="AP54" s="88"/>
    </row>
    <row r="55" spans="20:42" x14ac:dyDescent="0.25">
      <c r="T55" s="87" t="b">
        <f>IF(OR(J27="with cache", J27="without cache"), K26, FALSE)</f>
        <v>0</v>
      </c>
      <c r="U55" s="58" t="s">
        <v>121</v>
      </c>
      <c r="V55" s="58"/>
      <c r="W55" s="58"/>
      <c r="X55" s="58"/>
      <c r="Y55" s="58"/>
      <c r="Z55" s="58"/>
      <c r="AA55" s="58"/>
      <c r="AB55" s="58"/>
      <c r="AC55" s="58"/>
      <c r="AD55" s="88"/>
      <c r="AF55" s="87" t="b">
        <f>IF(OR(M27="with cache", M27="without cache"), N26, FALSE)</f>
        <v>0</v>
      </c>
      <c r="AG55" t="s">
        <v>124</v>
      </c>
      <c r="AH55" s="58"/>
      <c r="AI55" s="58"/>
      <c r="AJ55" s="58"/>
      <c r="AK55" s="58"/>
      <c r="AL55" s="58"/>
      <c r="AM55" s="58"/>
      <c r="AN55" s="58"/>
      <c r="AO55" s="58"/>
      <c r="AP55" s="88"/>
    </row>
    <row r="56" spans="20:42" x14ac:dyDescent="0.25">
      <c r="T56" s="87" t="b">
        <f>IF(OR(J31="with cache", J31="without cache"), K30, FALSE)</f>
        <v>0</v>
      </c>
      <c r="U56" s="58" t="s">
        <v>129</v>
      </c>
      <c r="V56" s="58"/>
      <c r="W56" s="58"/>
      <c r="X56" s="58"/>
      <c r="Y56" s="58"/>
      <c r="Z56" s="58"/>
      <c r="AA56" s="58"/>
      <c r="AB56" s="58"/>
      <c r="AC56" s="58"/>
      <c r="AD56" s="88"/>
      <c r="AF56" s="87" t="b">
        <f>IF(OR(M31="with cache", M31="without cache"), N30, FALSE)</f>
        <v>0</v>
      </c>
      <c r="AG56" t="s">
        <v>126</v>
      </c>
      <c r="AH56" s="58"/>
      <c r="AI56" s="58"/>
      <c r="AJ56" s="58"/>
      <c r="AK56" s="58"/>
      <c r="AL56" s="58"/>
      <c r="AM56" s="58"/>
      <c r="AN56" s="58"/>
      <c r="AO56" s="58"/>
      <c r="AP56" s="88"/>
    </row>
    <row r="57" spans="20:42" x14ac:dyDescent="0.25">
      <c r="T57" s="100" t="b">
        <f>IF(OR(J35="with cache", J35="without cache"), K34, FALSE)</f>
        <v>0</v>
      </c>
      <c r="U57" s="95" t="s">
        <v>135</v>
      </c>
      <c r="V57" s="95"/>
      <c r="W57" s="95"/>
      <c r="X57" s="95"/>
      <c r="Y57" s="95"/>
      <c r="Z57" s="95"/>
      <c r="AA57" s="95"/>
      <c r="AB57" s="95"/>
      <c r="AC57" s="95"/>
      <c r="AD57" s="96"/>
      <c r="AF57" s="100" t="b">
        <f>IF(OR(M35="with cache", M35="without cache"), N34, FALSE)</f>
        <v>0</v>
      </c>
      <c r="AG57" s="98" t="s">
        <v>132</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