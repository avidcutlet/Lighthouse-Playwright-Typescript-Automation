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First Link" state="visible" r:id="rId5"/>
    <sheet sheetId="8" name="02_Second Link" state="visible" r:id="rId6"/>
    <sheet sheetId="9" name="03_Third Link" state="visible" r:id="rId7"/>
    <sheet sheetId="10" name="04_Fourth Link" state="visible" r:id="rId8"/>
    <sheet sheetId="11" name="05_Fifth Link" state="visible" r:id="rId9"/>
    <sheet sheetId="12" name="06_Sixth Link" state="visible" r:id="rId10"/>
    <sheet sheetId="13" name="07_Seventh Link" state="visible" r:id="rId11"/>
    <sheet sheetId="14" name="08_Eighth Link" state="visible" r:id="rId12"/>
    <sheet sheetId="15" name="Formula_Sheet" state="very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<sst xmlns="http://schemas.openxmlformats.org/spreadsheetml/2006/main" count="516" uniqueCount="115">
  <si>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</si>
  <si>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</si>
  <si>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</si>
  <si>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</si>
  <si>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</si>
  <si>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</si>
  <si>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</si>
  <si>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</si>
  <si>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19, 2025, 11:09:10 AM</t>
  </si>
  <si>
    <t>01_First Link</t>
  </si>
  <si>
    <t>Desktop</t>
  </si>
  <si>
    <t>Mobile</t>
  </si>
  <si>
    <t>Oct 19, 2025, 11:09:45 AM</t>
  </si>
  <si>
    <t>02_Second Link</t>
  </si>
  <si>
    <t>Oct 19, 2025, 11:12:02 AM</t>
  </si>
  <si>
    <t>03_Third Link</t>
  </si>
  <si>
    <t>Oct 19, 2025, 11:12:37 AM</t>
  </si>
  <si>
    <t>04_Fourth Link</t>
  </si>
  <si>
    <t>Oct 19, 2025, 11:13:09 AM</t>
  </si>
  <si>
    <t>05_Fifth Link</t>
  </si>
  <si>
    <t>Oct 19, 2025, 11:15:49 AM</t>
  </si>
  <si>
    <t>06_Sixth Link</t>
  </si>
  <si>
    <t>Oct 19, 2025, 11:18:27 AM</t>
  </si>
  <si>
    <t>07_Seventh Link</t>
  </si>
  <si>
    <t>Oct 19, 2025, 11:19:13 AM</t>
  </si>
  <si>
    <t>08_Eighth Link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</si>
  <si>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</si>
  <si>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</si>
  <si>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</si>
  <si>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</si>
  <si>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</si>
  <si>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</si>
  <si>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</si>
  <si>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</si>
  <si>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</si>
  <si>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Properly size images  </t>
  </si>
  <si>
    <t>Recommendation:</t>
  </si>
  <si>
    <t>Learn how to size images</t>
  </si>
  <si>
    <t>Worst Insight</t>
  </si>
  <si>
    <t xml:space="preserve">Reduce JavaScript execution time — 2.2 s </t>
  </si>
  <si>
    <t>Learn how to reduce Javascript execution time</t>
  </si>
  <si>
    <t xml:space="preserve">Reduce JavaScript execution time — 46.6 s </t>
  </si>
  <si>
    <t xml:space="preserve">Minify CSS  </t>
  </si>
  <si>
    <t>Learn how to minify CSS</t>
  </si>
  <si>
    <t xml:space="preserve">Minimize main-thread work — 4.2 s </t>
  </si>
  <si>
    <t>Learn how to minimize main-thread work</t>
  </si>
  <si>
    <t>\\</t>
  </si>
  <si>
    <t xml:space="preserve">Minimize main-thread work — 16.7 s </t>
  </si>
  <si>
    <t xml:space="preserve">Reduce JavaScript execution time — 57.1 s </t>
  </si>
  <si>
    <t xml:space="preserve">Minimize main-thread work — 64.5 s </t>
  </si>
  <si>
    <t xml:space="preserve">Minimize main-thread work — 9.0 s </t>
  </si>
  <si>
    <t xml:space="preserve">Eliminate render-blocking resources  </t>
  </si>
  <si>
    <t>Learn how to eliminate render-blocking resources</t>
  </si>
  <si>
    <t xml:space="preserve">Minimize main-thread work — 17.1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</si>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</sst>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904359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2296476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33129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2212696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33129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nminified-cs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\" TargetMode="External"/><Relationship Id="rId2" Type="http://schemas.openxmlformats.org/officeDocument/2006/relationships/hyperlink" Target="https://developer.chrome.com/docs/lighthouse/performance/uses-responsive-images/?utm_source=lighthouse&amp;utm_medium=cli" TargetMode="External"/><Relationship Id="rId3" Type="http://schemas.openxmlformats.org/officeDocument/2006/relationships/hyperlink" Target="https://developer.chrome.com/docs/lighthouse/performance/mainthread-work-breakdown/?utm_source=lighthouse&amp;utm_medium=cli" TargetMode="External"/><Relationship Id="rId4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nminified-cs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render-blocking-resourc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8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9</v>
      </c>
      <c r="C7" s="17" t="s">
        <v>10</v>
      </c>
      <c r="D7" s="18">
        <v>96</v>
      </c>
      <c r="E7" s="18">
        <v>97</v>
      </c>
      <c r="F7" s="3"/>
      <c r="G7" s="19"/>
    </row>
    <row r="8" ht="15" customHeight="1" spans="2:7" x14ac:dyDescent="0.25">
      <c r="B8" s="20"/>
      <c r="C8" s="21" t="s">
        <v>11</v>
      </c>
      <c r="D8" s="18">
        <v>44</v>
      </c>
      <c r="E8" s="18">
        <v>43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12</v>
      </c>
      <c r="E10" s="14" t="s">
        <v>12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13</v>
      </c>
      <c r="C11" s="17" t="s">
        <v>10</v>
      </c>
      <c r="D11" s="18">
        <v>69</v>
      </c>
      <c r="E11" s="18">
        <v>60</v>
      </c>
      <c r="G11" s="19"/>
    </row>
    <row r="12" ht="15" customHeight="1" spans="2:7" x14ac:dyDescent="0.25">
      <c r="B12" s="20"/>
      <c r="C12" s="21" t="s">
        <v>11</v>
      </c>
      <c r="D12" s="18">
        <v>54</v>
      </c>
      <c r="E12" s="18">
        <v>52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14</v>
      </c>
      <c r="E14" s="14" t="s">
        <v>14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15</v>
      </c>
      <c r="C15" s="17" t="s">
        <v>10</v>
      </c>
      <c r="D15" s="18">
        <v>94</v>
      </c>
      <c r="E15" s="18">
        <v>93</v>
      </c>
      <c r="F15" s="3"/>
      <c r="G15" s="19"/>
    </row>
    <row r="16" ht="15" customHeight="1" spans="2:7" x14ac:dyDescent="0.25">
      <c r="B16" s="20"/>
      <c r="C16" s="21" t="s">
        <v>11</v>
      </c>
      <c r="D16" s="18">
        <v>44</v>
      </c>
      <c r="E16" s="18">
        <v>43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16</v>
      </c>
      <c r="E18" s="14" t="s">
        <v>16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17</v>
      </c>
      <c r="C19" s="17" t="s">
        <v>10</v>
      </c>
      <c r="D19" s="18">
        <v>69</v>
      </c>
      <c r="E19" s="18">
        <v>71</v>
      </c>
      <c r="F19" s="3"/>
      <c r="G19" s="19"/>
    </row>
    <row r="20" ht="15" customHeight="1" spans="2:7" x14ac:dyDescent="0.25">
      <c r="B20" s="20"/>
      <c r="C20" s="21" t="s">
        <v>11</v>
      </c>
      <c r="D20" s="18">
        <v>59</v>
      </c>
      <c r="E20" s="18">
        <v>38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18</v>
      </c>
      <c r="E22" s="14" t="s">
        <v>18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19</v>
      </c>
      <c r="C23" s="17" t="s">
        <v>10</v>
      </c>
      <c r="D23" s="18">
        <v>54</v>
      </c>
      <c r="E23" s="18">
        <v>57</v>
      </c>
      <c r="F23" s="3"/>
      <c r="G23" s="19"/>
    </row>
    <row r="24" ht="15" customHeight="1" spans="2:7" x14ac:dyDescent="0.25">
      <c r="B24" s="20"/>
      <c r="C24" s="21" t="s">
        <v>11</v>
      </c>
      <c r="D24" s="18">
        <v>33</v>
      </c>
      <c r="E24" s="18">
        <v>33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20</v>
      </c>
      <c r="E26" s="14" t="s">
        <v>20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21</v>
      </c>
      <c r="C27" s="17" t="s">
        <v>10</v>
      </c>
      <c r="D27" s="18">
        <v>53</v>
      </c>
      <c r="E27" s="18">
        <v>57</v>
      </c>
      <c r="F27" s="3"/>
      <c r="G27" s="19"/>
    </row>
    <row r="28" ht="15" customHeight="1" spans="2:7" x14ac:dyDescent="0.25">
      <c r="B28" s="20"/>
      <c r="C28" s="21" t="s">
        <v>11</v>
      </c>
      <c r="D28" s="18">
        <v>33</v>
      </c>
      <c r="E28" s="18">
        <v>55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22</v>
      </c>
      <c r="E30" s="25" t="s">
        <v>22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23</v>
      </c>
      <c r="C31" s="17" t="s">
        <v>10</v>
      </c>
      <c r="D31" s="18">
        <v>62</v>
      </c>
      <c r="E31" s="18">
        <v>72</v>
      </c>
      <c r="F31" s="3"/>
      <c r="G31" s="19"/>
    </row>
    <row r="32" ht="15" customHeight="1" spans="2:7" x14ac:dyDescent="0.25">
      <c r="B32" s="20"/>
      <c r="C32" s="21" t="s">
        <v>11</v>
      </c>
      <c r="D32" s="18">
        <v>30</v>
      </c>
      <c r="E32" s="18">
        <v>30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24</v>
      </c>
      <c r="E34" s="25" t="s">
        <v>24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25</v>
      </c>
      <c r="C35" s="17" t="s">
        <v>10</v>
      </c>
      <c r="D35" s="18">
        <v>63</v>
      </c>
      <c r="E35" s="18">
        <v>62</v>
      </c>
      <c r="F35" s="3"/>
      <c r="G35" s="19"/>
    </row>
    <row r="36" ht="15" customHeight="1" spans="2:7" x14ac:dyDescent="0.25">
      <c r="B36" s="20"/>
      <c r="C36" s="21" t="s">
        <v>11</v>
      </c>
      <c r="D36" s="18">
        <v>33</v>
      </c>
      <c r="E36" s="18">
        <v>26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26</v>
      </c>
      <c r="D38" s="29" t="s">
        <v>27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28</v>
      </c>
      <c r="D39" s="31" t="s">
        <v>29</v>
      </c>
      <c r="F39" s="3"/>
      <c r="G39" s="19"/>
    </row>
    <row r="40" ht="15" customHeight="1" spans="3:7" x14ac:dyDescent="0.25">
      <c r="C40" s="32" t="s">
        <v>30</v>
      </c>
      <c r="D40" s="33" t="s">
        <v>31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01_First Link</v>
      </c>
      <c r="C3" s="37" t="s">
        <v>10</v>
      </c>
      <c r="D3" s="38" t="s">
        <v>5</v>
      </c>
      <c r="E3" s="39">
        <f>HYPERLINK(".\html-10-19-2025-11-08-57-AM\www_w3schools_com-Desktop-Normal.report.html", "https://www.w3schools.com/ — Desktop-Normal")</f>
      </c>
    </row>
    <row r="4" spans="2:5" x14ac:dyDescent="0.25">
      <c r="B4" s="40"/>
      <c r="C4" s="41"/>
      <c r="D4" s="42" t="s">
        <v>6</v>
      </c>
      <c r="E4" s="39">
        <f>HYPERLINK(".\html-10-19-2025-11-08-57-AM\www_w3schools_com-Desktop-Incognito.report.html", "https://www.w3schools.com/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HYPERLINK(".\html-10-19-2025-11-08-57-AM\www_w3schools_com-Mobile-Normal.report.html", "https://www.w3schools.com/ — Mobile-Normal")</f>
      </c>
    </row>
    <row r="6" spans="2:5" x14ac:dyDescent="0.25">
      <c r="B6" s="43"/>
      <c r="C6" s="44"/>
      <c r="D6" s="45" t="s">
        <v>6</v>
      </c>
      <c r="E6" s="39">
        <f>HYPERLINK(".\html-10-19-2025-11-08-57-AM\www_w3schools_com-Mobile-Incognito.report.html", "https://www.w3schools.com/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4" x14ac:dyDescent="0.25">
      <c r="B10" t="s">
        <v>34</v>
      </c>
      <c r="C10" s="51" t="s">
        <v>35</v>
      </c>
      <c r="D10" s="52"/>
    </row>
    <row r="11" ht="15" customHeight="1" spans="2:4" x14ac:dyDescent="0.25">
      <c r="B11" t="s">
        <v>36</v>
      </c>
      <c r="C11" s="53" t="s">
        <v>37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39</v>
      </c>
      <c r="D26" s="56"/>
      <c r="E26" s="52"/>
    </row>
    <row r="27" ht="15" customHeight="1" spans="2:5" x14ac:dyDescent="0.25">
      <c r="B27" t="s">
        <v>36</v>
      </c>
      <c r="C27" s="53" t="s">
        <v>40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02_Second Link</v>
      </c>
      <c r="C3" s="37" t="s">
        <v>10</v>
      </c>
      <c r="D3" s="38" t="s">
        <v>5</v>
      </c>
      <c r="E3" s="39">
        <f>HYPERLINK(".\html-10-19-2025-11-08-57-AM\www_w3schools_com_programming_index_php-Desktop-Normal.report.html", "https://www.w3schools.com/programming/index.php — Desktop-Normal")</f>
      </c>
    </row>
    <row r="4" spans="2:5" x14ac:dyDescent="0.25">
      <c r="B4" s="40"/>
      <c r="C4" s="41"/>
      <c r="D4" s="42" t="s">
        <v>6</v>
      </c>
      <c r="E4" s="39">
        <f>HYPERLINK(".\html-10-19-2025-11-08-57-AM\www_w3schools_com_programming_index_php-Desktop-Incognito.report.html", "https://www.w3schools.com/programming/index.php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HYPERLINK(".\html-10-19-2025-11-08-57-AM\www_w3schools_com_programming_index_php-Mobile-Normal.report.html", "https://www.w3schools.com/programming/index.php — Mobile-Normal")</f>
      </c>
    </row>
    <row r="6" spans="2:5" x14ac:dyDescent="0.25">
      <c r="B6" s="43"/>
      <c r="C6" s="44"/>
      <c r="D6" s="45" t="s">
        <v>6</v>
      </c>
      <c r="E6" s="39">
        <f>HYPERLINK(".\html-10-19-2025-11-08-57-AM\www_w3schools_com_programming_index_php-Mobile-Incognito.report.html", "https://www.w3schools.com/programming/index.php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35</v>
      </c>
      <c r="D10" s="52"/>
      <c r="E10" s="58"/>
    </row>
    <row r="11" ht="15" customHeight="1" spans="2:5" x14ac:dyDescent="0.25">
      <c r="B11" t="s">
        <v>36</v>
      </c>
      <c r="C11" s="53" t="s">
        <v>37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41</v>
      </c>
      <c r="D26" s="56"/>
      <c r="E26" s="52"/>
    </row>
    <row r="27" ht="15" customHeight="1" spans="2:5" x14ac:dyDescent="0.25">
      <c r="B27" t="s">
        <v>36</v>
      </c>
      <c r="C27" s="53" t="s">
        <v>40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03_Third Link</v>
      </c>
      <c r="C3" s="37" t="s">
        <v>10</v>
      </c>
      <c r="D3" s="38" t="s">
        <v>5</v>
      </c>
      <c r="E3" s="39">
        <f>HYPERLINK(".\html-10-19-2025-11-08-57-AM\www_w3schools_com_spaces_index_php-Desktop-Normal.report.html", "https://www.w3schools.com/spaces/index.php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HYPERLINK(".\html-10-19-2025-11-08-57-AM\www_w3schools_com_spaces_index_php-Desktop-Incognito.report.html", "https://www.w3schools.com/spaces/index.php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HYPERLINK(".\html-10-19-2025-11-08-57-AM\www_w3schools_com_spaces_index_php-Mobile-Normal.report.html", "https://www.w3schools.com/spaces/index.php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HYPERLINK(".\html-10-19-2025-11-08-57-AM\www_w3schools_com_spaces_index_php-Mobile-Incognito.report.html", "https://www.w3schools.com/spaces/index.php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42</v>
      </c>
      <c r="D10" s="52"/>
      <c r="E10" s="58"/>
    </row>
    <row r="11" ht="15" customHeight="1" spans="2:5" x14ac:dyDescent="0.25">
      <c r="B11" t="s">
        <v>36</v>
      </c>
      <c r="C11" s="53" t="s">
        <v>43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44</v>
      </c>
      <c r="D26" s="56"/>
      <c r="E26" s="52"/>
    </row>
    <row r="27" ht="15" customHeight="1" spans="2:5" x14ac:dyDescent="0.25">
      <c r="B27" t="s">
        <v>36</v>
      </c>
      <c r="C27" s="53" t="s">
        <v>45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spans="1:1" x14ac:dyDescent="0.25">
      <c r="A1" s="47" t="s">
        <v>46</v>
      </c>
    </row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04_Fourth Link</v>
      </c>
      <c r="C3" s="37" t="s">
        <v>10</v>
      </c>
      <c r="D3" s="38" t="s">
        <v>5</v>
      </c>
      <c r="E3" s="39">
        <f>HYPERLINK(".\html-10-19-2025-11-08-57-AM\www_w3schools_com_codegame_index_html-Desktop-Normal.report.html", "https://www.w3schools.com/codegame/index.html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HYPERLINK(".\html-10-19-2025-11-08-57-AM\www_w3schools_com_codegame_index_html-Desktop-Incognito.report.html", "https://www.w3schools.com/codegame/index.html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HYPERLINK(".\html-10-19-2025-11-08-57-AM\www_w3schools_com_codegame_index_html-Mobile-Normal.report.html", "https://www.w3schools.com/codegame/index.html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HYPERLINK(".\html-10-19-2025-11-08-57-AM\www_w3schools_com_codegame_index_html-Mobile-Incognito.report.html", "https://www.w3schools.com/codegame/index.html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35</v>
      </c>
      <c r="D10" s="52"/>
      <c r="E10" s="58"/>
    </row>
    <row r="11" ht="15" customHeight="1" spans="2:5" x14ac:dyDescent="0.25">
      <c r="B11" t="s">
        <v>36</v>
      </c>
      <c r="C11" s="53" t="s">
        <v>37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47</v>
      </c>
      <c r="D26" s="56"/>
      <c r="E26" s="52"/>
    </row>
    <row r="27" ht="15" customHeight="1" spans="2:5" x14ac:dyDescent="0.25">
      <c r="B27" t="s">
        <v>36</v>
      </c>
      <c r="C27" s="53" t="s">
        <v>45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A1" r:id="rId1"/>
    <hyperlink ref="C11" r:id="rId2"/>
    <hyperlink ref="C27" r:id="rId3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05_Fifth Link</v>
      </c>
      <c r="C3" s="37" t="s">
        <v>10</v>
      </c>
      <c r="D3" s="38" t="s">
        <v>5</v>
      </c>
      <c r="E3" s="39">
        <f>HYPERLINK(".\html-10-19-2025-11-08-57-AM\www_w3schools_com_cybersecurity_index_php-Desktop-Normal.report.html", "https://www.w3schools.com/cybersecurity/index.php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HYPERLINK(".\html-10-19-2025-11-08-57-AM\www_w3schools_com_cybersecurity_index_php-Desktop-Incognito.report.html", "https://www.w3schools.com/cybersecurity/index.php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HYPERLINK(".\html-10-19-2025-11-08-57-AM\www_w3schools_com_cybersecurity_index_php-Mobile-Normal.report.html", "https://www.w3schools.com/cybersecurity/index.php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HYPERLINK(".\html-10-19-2025-11-08-57-AM\www_w3schools_com_cybersecurity_index_php-Mobile-Incognito.report.html", "https://www.w3schools.com/cybersecurity/index.php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35</v>
      </c>
      <c r="D10" s="52"/>
      <c r="E10" s="58"/>
    </row>
    <row r="11" ht="15" customHeight="1" spans="2:5" x14ac:dyDescent="0.25">
      <c r="B11" t="s">
        <v>36</v>
      </c>
      <c r="C11" s="53" t="s">
        <v>37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48</v>
      </c>
      <c r="D26" s="56"/>
      <c r="E26" s="52"/>
    </row>
    <row r="27" ht="15" customHeight="1" spans="2:5" x14ac:dyDescent="0.25">
      <c r="B27" t="s">
        <v>36</v>
      </c>
      <c r="C27" s="53" t="s">
        <v>40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06_Sixth Link</v>
      </c>
      <c r="C3" s="37" t="s">
        <v>10</v>
      </c>
      <c r="D3" s="38" t="s">
        <v>5</v>
      </c>
      <c r="E3" s="39">
        <f>HYPERLINK(".\html-10-19-2025-11-08-57-AM\www_w3schools_com_accessibility_index_php-Desktop-Normal.report.html", "https://www.w3schools.com/accessibility/index.php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HYPERLINK(".\html-10-19-2025-11-08-57-AM\www_w3schools_com_accessibility_index_php-Desktop-Incognito.report.html", "https://www.w3schools.com/accessibility/index.php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HYPERLINK(".\html-10-19-2025-11-08-57-AM\www_w3schools_com_accessibility_index_php-Mobile-Normal.report.html", "https://www.w3schools.com/accessibility/index.php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HYPERLINK(".\html-10-19-2025-11-08-57-AM\www_w3schools_com_accessibility_index_php-Mobile-Incognito.report.html", "https://www.w3schools.com/accessibility/index.php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60"/>
    </row>
    <row r="10" ht="15" customHeight="1" spans="2:4" x14ac:dyDescent="0.25">
      <c r="B10" t="s">
        <v>34</v>
      </c>
      <c r="C10" s="51" t="s">
        <v>35</v>
      </c>
      <c r="D10" s="52"/>
    </row>
    <row r="11" ht="15" customHeight="1" spans="2:4" x14ac:dyDescent="0.25">
      <c r="B11" t="s">
        <v>36</v>
      </c>
      <c r="C11" s="53" t="s">
        <v>37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49</v>
      </c>
      <c r="D26" s="56"/>
      <c r="E26" s="52"/>
    </row>
    <row r="27" ht="15" customHeight="1" spans="2:5" x14ac:dyDescent="0.25">
      <c r="B27" t="s">
        <v>36</v>
      </c>
      <c r="C27" s="53" t="s">
        <v>45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07_Seventh Link</v>
      </c>
      <c r="C3" s="37" t="s">
        <v>10</v>
      </c>
      <c r="D3" s="38" t="s">
        <v>5</v>
      </c>
      <c r="E3" s="61">
        <f>HYPERLINK(".\html-10-19-2025-11-08-57-AM\www_w3schools_com_academy_index_php-Desktop-Normal.report.html", "https://www.w3schools.com/academy/index.php — Desktop-Normal")</f>
      </c>
    </row>
    <row r="4" spans="2:5" x14ac:dyDescent="0.25">
      <c r="B4" s="40"/>
      <c r="C4" s="41"/>
      <c r="D4" s="42" t="s">
        <v>6</v>
      </c>
      <c r="E4" s="62">
        <f>HYPERLINK(".\html-10-19-2025-11-08-57-AM\www_w3schools_com_academy_index_php-Desktop-Incognito.report.html", "https://www.w3schools.com/academy/index.php — Desktop-Incognito")</f>
      </c>
    </row>
    <row r="5" spans="2:5" x14ac:dyDescent="0.25">
      <c r="B5" s="40"/>
      <c r="C5" s="41" t="s">
        <v>11</v>
      </c>
      <c r="D5" s="42" t="s">
        <v>5</v>
      </c>
      <c r="E5" s="63">
        <f>HYPERLINK(".\html-10-19-2025-11-08-57-AM\www_w3schools_com_academy_index_php-Mobile-Normal.report.html", "https://www.w3schools.com/academy/index.php — Mobile-Normal")</f>
      </c>
    </row>
    <row r="6" spans="2:5" x14ac:dyDescent="0.25">
      <c r="B6" s="43"/>
      <c r="C6" s="44"/>
      <c r="D6" s="45" t="s">
        <v>6</v>
      </c>
      <c r="E6" s="64">
        <f>HYPERLINK(".\html-10-19-2025-11-08-57-AM\www_w3schools_com_academy_index_php-Mobile-Incognito.report.html", "https://www.w3schools.com/academy/index.php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42</v>
      </c>
      <c r="D10" s="52"/>
      <c r="E10" s="58"/>
    </row>
    <row r="11" ht="15" customHeight="1" spans="2:5" x14ac:dyDescent="0.25">
      <c r="B11" t="s">
        <v>36</v>
      </c>
      <c r="C11" s="53" t="s">
        <v>43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50</v>
      </c>
      <c r="D26" s="56"/>
      <c r="E26" s="52"/>
    </row>
    <row r="27" ht="15" customHeight="1" spans="2:5" x14ac:dyDescent="0.25">
      <c r="B27" t="s">
        <v>36</v>
      </c>
      <c r="C27" s="53" t="s">
        <v>45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08_Eighth Link</v>
      </c>
      <c r="C3" s="37" t="s">
        <v>10</v>
      </c>
      <c r="D3" s="38" t="s">
        <v>5</v>
      </c>
      <c r="E3" s="39">
        <f>HYPERLINK(".\html-10-19-2025-11-08-57-AM\campus_w3schools_com_pages_newsletter-Desktop-Normal.report.html", "https://campus.w3schools.com/pages/newsletter — Desktop-Normal")</f>
      </c>
    </row>
    <row r="4" spans="2:5" x14ac:dyDescent="0.25">
      <c r="B4" s="40"/>
      <c r="C4" s="41"/>
      <c r="D4" s="42" t="s">
        <v>6</v>
      </c>
      <c r="E4" s="39">
        <f>HYPERLINK(".\html-10-19-2025-11-08-57-AM\campus_w3schools_com_pages_newsletter-Desktop-Incognito.report.html", "https://campus.w3schools.com/pages/newsletter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HYPERLINK(".\html-10-19-2025-11-08-57-AM\campus_w3schools_com_pages_newsletter-Mobile-Normal.report.html", "https://campus.w3schools.com/pages/newsletter — Mobile-Normal")</f>
      </c>
    </row>
    <row r="6" spans="2:5" x14ac:dyDescent="0.25">
      <c r="B6" s="43"/>
      <c r="C6" s="44"/>
      <c r="D6" s="45" t="s">
        <v>6</v>
      </c>
      <c r="E6" s="39">
        <f>HYPERLINK(".\html-10-19-2025-11-08-57-AM\campus_w3schools_com_pages_newsletter-Mobile-Incognito.report.html", "https://campus.w3schools.com/pages/newsletter — Mobile-Incognito")</f>
      </c>
    </row>
    <row r="7" spans="2:5" x14ac:dyDescent="0.25">
      <c r="B7" s="46"/>
      <c r="C7" s="46"/>
      <c r="E7" s="47"/>
    </row>
    <row r="8" spans="2:2" x14ac:dyDescent="0.25">
      <c r="B8" t="s">
        <v>32</v>
      </c>
    </row>
    <row r="9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51</v>
      </c>
      <c r="D10" s="52"/>
      <c r="E10" s="58"/>
    </row>
    <row r="11" ht="15" customHeight="1" spans="2:5" x14ac:dyDescent="0.25">
      <c r="B11" t="s">
        <v>36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38</v>
      </c>
    </row>
    <row r="25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53</v>
      </c>
      <c r="D26" s="56"/>
      <c r="E26" s="52"/>
    </row>
    <row r="27" ht="15" customHeight="1" spans="2:5" x14ac:dyDescent="0.25">
      <c r="B27" t="s">
        <v>36</v>
      </c>
      <c r="C27" s="53" t="s">
        <v>45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>
      <selection activeCell="V50" sqref="V50"/>
    </sheetView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54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55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01_First Link</v>
      </c>
      <c r="J5" s="73" t="s">
        <v>56</v>
      </c>
      <c r="K5" s="74" t="s">
        <v>57</v>
      </c>
      <c r="L5" t="s">
        <v>58</v>
      </c>
      <c r="M5" s="75" t="s">
        <v>59</v>
      </c>
      <c r="N5" s="74" t="s">
        <v>57</v>
      </c>
      <c r="O5" t="s">
        <v>58</v>
      </c>
      <c r="P5" t="s">
        <v>60</v>
      </c>
      <c r="Q5" t="s">
        <v>61</v>
      </c>
      <c r="T5" s="76" t="s">
        <v>62</v>
      </c>
      <c r="U5" s="76" t="s">
        <v>63</v>
      </c>
      <c r="V5" s="76" t="s">
        <v>64</v>
      </c>
      <c r="W5" s="76" t="s">
        <v>65</v>
      </c>
      <c r="X5" s="76" t="s">
        <v>66</v>
      </c>
      <c r="Y5" s="76" t="s">
        <v>67</v>
      </c>
      <c r="Z5" s="76" t="s">
        <v>68</v>
      </c>
      <c r="AA5" s="76" t="s">
        <v>69</v>
      </c>
      <c r="AB5" s="76" t="s">
        <v>70</v>
      </c>
      <c r="AC5" s="58"/>
      <c r="AD5" s="58"/>
      <c r="AE5" s="58"/>
      <c r="AF5" s="76" t="s">
        <v>71</v>
      </c>
      <c r="AG5" s="76" t="s">
        <v>63</v>
      </c>
      <c r="AH5" s="76" t="s">
        <v>72</v>
      </c>
      <c r="AI5" s="76" t="s">
        <v>65</v>
      </c>
      <c r="AJ5" s="76" t="s">
        <v>66</v>
      </c>
      <c r="AK5" s="76" t="s">
        <v>67</v>
      </c>
      <c r="AL5" s="76" t="s">
        <v>73</v>
      </c>
      <c r="AM5" s="76" t="s">
        <v>69</v>
      </c>
      <c r="AN5" s="76" t="s">
        <v>74</v>
      </c>
    </row>
    <row r="6" spans="9:40" x14ac:dyDescent="0.25">
      <c r="I6" s="74" t="s">
        <v>75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76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02_Second Link</v>
      </c>
      <c r="J9" s="73" t="s">
        <v>56</v>
      </c>
      <c r="K9" s="74" t="s">
        <v>57</v>
      </c>
      <c r="L9" t="s">
        <v>58</v>
      </c>
      <c r="M9" s="75" t="s">
        <v>59</v>
      </c>
      <c r="N9" s="74" t="s">
        <v>57</v>
      </c>
      <c r="O9" t="s">
        <v>58</v>
      </c>
      <c r="P9" t="s">
        <v>60</v>
      </c>
      <c r="Q9" t="s">
        <v>61</v>
      </c>
      <c r="T9" s="76" t="s">
        <v>62</v>
      </c>
      <c r="U9" s="76" t="s">
        <v>63</v>
      </c>
      <c r="V9" s="76" t="s">
        <v>64</v>
      </c>
      <c r="W9" s="76" t="s">
        <v>65</v>
      </c>
      <c r="X9" s="76" t="s">
        <v>66</v>
      </c>
      <c r="Y9" s="76" t="s">
        <v>67</v>
      </c>
      <c r="Z9" s="76" t="s">
        <v>68</v>
      </c>
      <c r="AA9" s="76" t="s">
        <v>69</v>
      </c>
      <c r="AB9" s="76" t="s">
        <v>70</v>
      </c>
      <c r="AC9" s="58"/>
      <c r="AD9" s="58"/>
      <c r="AE9" s="58"/>
      <c r="AF9" s="76" t="s">
        <v>71</v>
      </c>
      <c r="AG9" s="76" t="s">
        <v>63</v>
      </c>
      <c r="AH9" s="76" t="s">
        <v>72</v>
      </c>
      <c r="AI9" s="76" t="s">
        <v>65</v>
      </c>
      <c r="AJ9" s="76" t="s">
        <v>66</v>
      </c>
      <c r="AK9" s="76" t="s">
        <v>67</v>
      </c>
      <c r="AL9" s="76" t="s">
        <v>73</v>
      </c>
      <c r="AM9" s="76" t="s">
        <v>69</v>
      </c>
      <c r="AN9" s="76" t="s">
        <v>74</v>
      </c>
    </row>
    <row r="10" spans="9:40" x14ac:dyDescent="0.25">
      <c r="I10" s="74" t="s">
        <v>75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76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03_Third Link</v>
      </c>
      <c r="J13" s="73" t="s">
        <v>56</v>
      </c>
      <c r="K13" s="74" t="s">
        <v>57</v>
      </c>
      <c r="L13" t="s">
        <v>58</v>
      </c>
      <c r="M13" s="75" t="s">
        <v>59</v>
      </c>
      <c r="N13" s="74" t="s">
        <v>57</v>
      </c>
      <c r="O13" t="s">
        <v>58</v>
      </c>
      <c r="P13" t="s">
        <v>60</v>
      </c>
      <c r="Q13" t="s">
        <v>61</v>
      </c>
      <c r="T13" s="76" t="s">
        <v>62</v>
      </c>
      <c r="U13" s="76" t="s">
        <v>63</v>
      </c>
      <c r="V13" s="76" t="s">
        <v>64</v>
      </c>
      <c r="W13" s="76" t="s">
        <v>65</v>
      </c>
      <c r="X13" s="76" t="s">
        <v>66</v>
      </c>
      <c r="Y13" s="76" t="s">
        <v>67</v>
      </c>
      <c r="Z13" s="76" t="s">
        <v>68</v>
      </c>
      <c r="AA13" s="76" t="s">
        <v>69</v>
      </c>
      <c r="AB13" s="76" t="s">
        <v>70</v>
      </c>
      <c r="AC13" s="58"/>
      <c r="AD13" s="58"/>
      <c r="AE13" s="58"/>
      <c r="AF13" s="76" t="s">
        <v>71</v>
      </c>
      <c r="AG13" s="76" t="s">
        <v>63</v>
      </c>
      <c r="AH13" s="76" t="s">
        <v>72</v>
      </c>
      <c r="AI13" s="76" t="s">
        <v>65</v>
      </c>
      <c r="AJ13" s="76" t="s">
        <v>66</v>
      </c>
      <c r="AK13" s="76" t="s">
        <v>67</v>
      </c>
      <c r="AL13" s="76" t="s">
        <v>73</v>
      </c>
      <c r="AM13" s="76" t="s">
        <v>69</v>
      </c>
      <c r="AN13" s="76" t="s">
        <v>74</v>
      </c>
    </row>
    <row r="14" spans="9:40" x14ac:dyDescent="0.25">
      <c r="I14" s="74" t="s">
        <v>75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76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04_Fourth Link</v>
      </c>
      <c r="J17" s="73" t="s">
        <v>56</v>
      </c>
      <c r="K17" s="74" t="s">
        <v>57</v>
      </c>
      <c r="L17" t="s">
        <v>58</v>
      </c>
      <c r="M17" s="75" t="s">
        <v>59</v>
      </c>
      <c r="N17" s="74" t="s">
        <v>57</v>
      </c>
      <c r="O17" t="s">
        <v>58</v>
      </c>
      <c r="P17" t="s">
        <v>60</v>
      </c>
      <c r="Q17" t="s">
        <v>61</v>
      </c>
      <c r="T17" s="76" t="s">
        <v>62</v>
      </c>
      <c r="U17" s="76" t="s">
        <v>63</v>
      </c>
      <c r="V17" s="76" t="s">
        <v>64</v>
      </c>
      <c r="W17" s="76" t="s">
        <v>65</v>
      </c>
      <c r="X17" s="76" t="s">
        <v>66</v>
      </c>
      <c r="Y17" s="76" t="s">
        <v>67</v>
      </c>
      <c r="Z17" s="76" t="s">
        <v>68</v>
      </c>
      <c r="AA17" s="76" t="s">
        <v>69</v>
      </c>
      <c r="AB17" s="76" t="s">
        <v>70</v>
      </c>
      <c r="AC17" s="58"/>
      <c r="AD17" s="58"/>
      <c r="AE17" s="58"/>
      <c r="AF17" s="76" t="s">
        <v>71</v>
      </c>
      <c r="AG17" s="76" t="s">
        <v>63</v>
      </c>
      <c r="AH17" s="76" t="s">
        <v>72</v>
      </c>
      <c r="AI17" s="76" t="s">
        <v>65</v>
      </c>
      <c r="AJ17" s="76" t="s">
        <v>66</v>
      </c>
      <c r="AK17" s="76" t="s">
        <v>67</v>
      </c>
      <c r="AL17" s="76" t="s">
        <v>73</v>
      </c>
      <c r="AM17" s="76" t="s">
        <v>69</v>
      </c>
      <c r="AN17" s="76" t="s">
        <v>74</v>
      </c>
    </row>
    <row r="18" spans="9:40" x14ac:dyDescent="0.25">
      <c r="I18" s="74" t="s">
        <v>75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76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05_Fifth Link</v>
      </c>
      <c r="J21" s="73" t="s">
        <v>56</v>
      </c>
      <c r="K21" s="74" t="s">
        <v>57</v>
      </c>
      <c r="L21" t="s">
        <v>58</v>
      </c>
      <c r="M21" s="75" t="s">
        <v>59</v>
      </c>
      <c r="N21" s="74" t="s">
        <v>57</v>
      </c>
      <c r="O21" t="s">
        <v>58</v>
      </c>
      <c r="P21" t="s">
        <v>60</v>
      </c>
      <c r="Q21" t="s">
        <v>61</v>
      </c>
      <c r="T21" s="76" t="s">
        <v>62</v>
      </c>
      <c r="U21" s="76" t="s">
        <v>63</v>
      </c>
      <c r="V21" s="76" t="s">
        <v>64</v>
      </c>
      <c r="W21" s="76" t="s">
        <v>65</v>
      </c>
      <c r="X21" s="76" t="s">
        <v>66</v>
      </c>
      <c r="Y21" s="76" t="s">
        <v>67</v>
      </c>
      <c r="Z21" s="76" t="s">
        <v>68</v>
      </c>
      <c r="AA21" s="76" t="s">
        <v>69</v>
      </c>
      <c r="AB21" s="76" t="s">
        <v>70</v>
      </c>
      <c r="AC21" s="58"/>
      <c r="AD21" s="58"/>
      <c r="AE21" s="58"/>
      <c r="AF21" s="76" t="s">
        <v>71</v>
      </c>
      <c r="AG21" s="76" t="s">
        <v>63</v>
      </c>
      <c r="AH21" s="76" t="s">
        <v>72</v>
      </c>
      <c r="AI21" s="76" t="s">
        <v>65</v>
      </c>
      <c r="AJ21" s="76" t="s">
        <v>66</v>
      </c>
      <c r="AK21" s="76" t="s">
        <v>67</v>
      </c>
      <c r="AL21" s="76" t="s">
        <v>73</v>
      </c>
      <c r="AM21" s="76" t="s">
        <v>69</v>
      </c>
      <c r="AN21" s="76" t="s">
        <v>74</v>
      </c>
    </row>
    <row r="22" spans="9:40" x14ac:dyDescent="0.25">
      <c r="I22" s="74" t="s">
        <v>75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76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06_Sixth Link</v>
      </c>
      <c r="J25" s="73" t="s">
        <v>56</v>
      </c>
      <c r="K25" s="74" t="s">
        <v>57</v>
      </c>
      <c r="L25" t="s">
        <v>58</v>
      </c>
      <c r="M25" s="75" t="s">
        <v>59</v>
      </c>
      <c r="N25" s="74" t="s">
        <v>57</v>
      </c>
      <c r="O25" t="s">
        <v>58</v>
      </c>
      <c r="P25" t="s">
        <v>60</v>
      </c>
      <c r="Q25" t="s">
        <v>61</v>
      </c>
      <c r="T25" s="76" t="s">
        <v>62</v>
      </c>
      <c r="U25" s="76" t="s">
        <v>63</v>
      </c>
      <c r="V25" s="76" t="s">
        <v>64</v>
      </c>
      <c r="W25" s="76" t="s">
        <v>65</v>
      </c>
      <c r="X25" s="76" t="s">
        <v>66</v>
      </c>
      <c r="Y25" s="76" t="s">
        <v>67</v>
      </c>
      <c r="Z25" s="76" t="s">
        <v>68</v>
      </c>
      <c r="AA25" s="76" t="s">
        <v>69</v>
      </c>
      <c r="AB25" s="76" t="s">
        <v>70</v>
      </c>
      <c r="AC25" s="58"/>
      <c r="AD25" s="58"/>
      <c r="AE25" s="58"/>
      <c r="AF25" s="76" t="s">
        <v>71</v>
      </c>
      <c r="AG25" s="76" t="s">
        <v>63</v>
      </c>
      <c r="AH25" s="76" t="s">
        <v>72</v>
      </c>
      <c r="AI25" s="76" t="s">
        <v>65</v>
      </c>
      <c r="AJ25" s="76" t="s">
        <v>66</v>
      </c>
      <c r="AK25" s="76" t="s">
        <v>67</v>
      </c>
      <c r="AL25" s="76" t="s">
        <v>73</v>
      </c>
      <c r="AM25" s="76" t="s">
        <v>69</v>
      </c>
      <c r="AN25" s="76" t="s">
        <v>74</v>
      </c>
    </row>
    <row r="26" spans="9:40" x14ac:dyDescent="0.25">
      <c r="I26" s="74" t="s">
        <v>75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76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07_Seventh Link</v>
      </c>
      <c r="J29" s="73" t="s">
        <v>56</v>
      </c>
      <c r="K29" s="74" t="s">
        <v>57</v>
      </c>
      <c r="L29" t="s">
        <v>58</v>
      </c>
      <c r="M29" s="75" t="s">
        <v>59</v>
      </c>
      <c r="N29" s="74" t="s">
        <v>57</v>
      </c>
      <c r="O29" t="s">
        <v>58</v>
      </c>
      <c r="P29" t="s">
        <v>60</v>
      </c>
      <c r="Q29" t="s">
        <v>61</v>
      </c>
      <c r="T29" s="76" t="s">
        <v>62</v>
      </c>
      <c r="U29" s="76" t="s">
        <v>63</v>
      </c>
      <c r="V29" s="76" t="s">
        <v>64</v>
      </c>
      <c r="W29" s="76" t="s">
        <v>65</v>
      </c>
      <c r="X29" s="76" t="s">
        <v>66</v>
      </c>
      <c r="Y29" s="76" t="s">
        <v>67</v>
      </c>
      <c r="Z29" s="76" t="s">
        <v>68</v>
      </c>
      <c r="AA29" s="76" t="s">
        <v>69</v>
      </c>
      <c r="AB29" s="76" t="s">
        <v>70</v>
      </c>
      <c r="AC29" s="58"/>
      <c r="AD29" s="58"/>
      <c r="AE29" s="58"/>
      <c r="AF29" s="76" t="s">
        <v>71</v>
      </c>
      <c r="AG29" s="76" t="s">
        <v>63</v>
      </c>
      <c r="AH29" s="76" t="s">
        <v>72</v>
      </c>
      <c r="AI29" s="76" t="s">
        <v>65</v>
      </c>
      <c r="AJ29" s="76" t="s">
        <v>66</v>
      </c>
      <c r="AK29" s="76" t="s">
        <v>67</v>
      </c>
      <c r="AL29" s="76" t="s">
        <v>73</v>
      </c>
      <c r="AM29" s="76" t="s">
        <v>69</v>
      </c>
      <c r="AN29" s="76" t="s">
        <v>74</v>
      </c>
    </row>
    <row r="30" spans="9:40" x14ac:dyDescent="0.25">
      <c r="I30" s="74" t="s">
        <v>75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76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08_Eighth Link</v>
      </c>
      <c r="J33" s="73" t="s">
        <v>56</v>
      </c>
      <c r="K33" s="74" t="s">
        <v>57</v>
      </c>
      <c r="L33" t="s">
        <v>58</v>
      </c>
      <c r="M33" s="75" t="s">
        <v>59</v>
      </c>
      <c r="N33" s="74" t="s">
        <v>57</v>
      </c>
      <c r="O33" t="s">
        <v>58</v>
      </c>
      <c r="P33" t="s">
        <v>60</v>
      </c>
      <c r="Q33" t="s">
        <v>61</v>
      </c>
      <c r="T33" s="76" t="s">
        <v>62</v>
      </c>
      <c r="U33" s="76" t="s">
        <v>63</v>
      </c>
      <c r="V33" s="76" t="s">
        <v>64</v>
      </c>
      <c r="W33" s="76" t="s">
        <v>65</v>
      </c>
      <c r="X33" s="76" t="s">
        <v>66</v>
      </c>
      <c r="Y33" s="76" t="s">
        <v>67</v>
      </c>
      <c r="Z33" s="76" t="s">
        <v>68</v>
      </c>
      <c r="AA33" s="76" t="s">
        <v>69</v>
      </c>
      <c r="AB33" s="76" t="s">
        <v>70</v>
      </c>
      <c r="AC33" s="58"/>
      <c r="AD33" s="58"/>
      <c r="AE33" s="58"/>
      <c r="AF33" s="76" t="s">
        <v>71</v>
      </c>
      <c r="AG33" s="76" t="s">
        <v>63</v>
      </c>
      <c r="AH33" s="76" t="s">
        <v>72</v>
      </c>
      <c r="AI33" s="76" t="s">
        <v>65</v>
      </c>
      <c r="AJ33" s="76" t="s">
        <v>66</v>
      </c>
      <c r="AK33" s="76" t="s">
        <v>67</v>
      </c>
      <c r="AL33" s="76" t="s">
        <v>73</v>
      </c>
      <c r="AM33" s="76" t="s">
        <v>69</v>
      </c>
      <c r="AN33" s="76" t="s">
        <v>74</v>
      </c>
    </row>
    <row r="34" spans="9:40" x14ac:dyDescent="0.25">
      <c r="I34" s="74" t="s">
        <v>75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76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77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77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78</v>
      </c>
      <c r="J38" s="76" t="s">
        <v>56</v>
      </c>
      <c r="K38" s="76" t="s">
        <v>59</v>
      </c>
      <c r="L38" s="78"/>
      <c r="M38" s="78"/>
      <c r="N38" s="78"/>
      <c r="O38" s="78"/>
      <c r="T38" s="87" t="s">
        <v>79</v>
      </c>
      <c r="U38" s="58" t="s">
        <v>65</v>
      </c>
      <c r="V38" s="58" t="s">
        <v>80</v>
      </c>
      <c r="W38" s="58" t="s">
        <v>81</v>
      </c>
      <c r="X38" s="58" t="s">
        <v>82</v>
      </c>
      <c r="Y38" s="58" t="s">
        <v>83</v>
      </c>
      <c r="Z38" s="58" t="s">
        <v>84</v>
      </c>
      <c r="AA38" s="58" t="s">
        <v>3</v>
      </c>
      <c r="AB38" s="58" t="s">
        <v>85</v>
      </c>
      <c r="AC38" s="58" t="s">
        <v>4</v>
      </c>
      <c r="AD38" s="88" t="s">
        <v>86</v>
      </c>
      <c r="AF38" s="89" t="s">
        <v>87</v>
      </c>
      <c r="AG38" t="s">
        <v>65</v>
      </c>
      <c r="AH38" t="s">
        <v>88</v>
      </c>
      <c r="AI38" t="s">
        <v>89</v>
      </c>
      <c r="AJ38" t="s">
        <v>82</v>
      </c>
      <c r="AK38" t="s">
        <v>83</v>
      </c>
      <c r="AL38" t="s">
        <v>84</v>
      </c>
      <c r="AM38" t="s">
        <v>3</v>
      </c>
      <c r="AN38" t="s">
        <v>85</v>
      </c>
      <c r="AO38" t="s">
        <v>4</v>
      </c>
      <c r="AP38" s="90" t="s">
        <v>86</v>
      </c>
    </row>
    <row r="39" spans="9:42" x14ac:dyDescent="0.25">
      <c r="I39" s="74" t="s">
        <v>90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91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01_First Link</v>
      </c>
      <c r="Z39" s="58" t="str">
        <f t="array" ref="Z39">_xlfn.TEXTJOIN(", ", TRUE,_xlfn.ANCHORARRAY( Y39))</f>
        <v>01_First Link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39" s="58" t="str">
        <f t="array" ref="AB39">_xlfn.TEXTJOIN(", ", TRUE,_xlfn.ANCHORARRAY( AA39))</f>
        <v>First Link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92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01_First Link</v>
      </c>
      <c r="AL39" t="str">
        <f t="array" ref="AL39">_xlfn.TEXTJOIN(", ", TRUE,_xlfn.ANCHORARRAY( AK39))</f>
        <v>01_First Link</v>
      </c>
      <c r="AM39" t="str">
        <f t="array" ref="AM39">_xlfn.MAP(_xlfn.ANCHORARRAY(AJ39),_xlfn.LAMBDA(_xlpm.cell_address,MID(INDIRECT(ADDRESS(ROW(INDIRECT(_xlpm.cell_address))-1,COLUMN(INDIRECT(_xlpm.cell_address))-5)),FIND("_",INDIRECT(ADDRESS(ROW(INDIRECT(_xlpm.cell_address))-1,COLUMN(INDIRECT(_xlpm.cell_address))-5)))+1,999)))</f>
        <v>First Link</v>
      </c>
      <c r="AN39" t="str">
        <f t="array" ref="AN39">_xlfn.TEXTJOIN(", ", TRUE,_xlfn.ANCHORARRAY( AM39))</f>
        <v>First Link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93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94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95</v>
      </c>
      <c r="AP40" s="90"/>
    </row>
    <row r="41" spans="9:42" x14ac:dyDescent="0.25">
      <c r="I41" s="74" t="s">
        <v>96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97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98</v>
      </c>
      <c r="AP41" s="90"/>
    </row>
    <row r="42" spans="9:42" x14ac:dyDescent="0.25">
      <c r="I42" s="74" t="s">
        <v>99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100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101</v>
      </c>
      <c r="AP42" s="90"/>
    </row>
    <row r="43" spans="9:42" x14ac:dyDescent="0.25">
      <c r="I43" s="74" t="s">
        <v>102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103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104</v>
      </c>
      <c r="AP43" s="90"/>
    </row>
    <row r="44" spans="9:42" x14ac:dyDescent="0.25">
      <c r="I44" s="74" t="s">
        <v>105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106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107</v>
      </c>
      <c r="AP44" s="90"/>
    </row>
    <row r="45" spans="9:42" x14ac:dyDescent="0.25">
      <c r="I45" s="74" t="s">
        <v>108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01_First Link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01_First Link</v>
      </c>
      <c r="T45" s="91">
        <f>IF(J31="with and without cache", K30, FALSE)</f>
        <v>0</v>
      </c>
      <c r="U45" s="58" t="s">
        <v>109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110</v>
      </c>
      <c r="AP45" s="90"/>
    </row>
    <row r="46" spans="9:42" x14ac:dyDescent="0.25">
      <c r="I46" s="74" t="s">
        <v>111</v>
      </c>
      <c r="J46" s="76" t="str">
        <f>RIGHT(J45, LEN(J45) - 3)</f>
        <v>First Link</v>
      </c>
      <c r="K46" s="76" t="str">
        <f>RIGHT(K45, LEN(K45) - 3)</f>
        <v>First Link</v>
      </c>
      <c r="T46" s="94">
        <f>IF(J35="with and without cache", K34, FALSE)</f>
        <v>0</v>
      </c>
      <c r="U46" s="95" t="s">
        <v>112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113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114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114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79</v>
      </c>
      <c r="U49" s="58" t="s">
        <v>65</v>
      </c>
      <c r="V49" s="58" t="s">
        <v>80</v>
      </c>
      <c r="W49" s="58" t="s">
        <v>81</v>
      </c>
      <c r="X49" s="58" t="s">
        <v>82</v>
      </c>
      <c r="Y49" s="58" t="s">
        <v>83</v>
      </c>
      <c r="Z49" s="58" t="s">
        <v>84</v>
      </c>
      <c r="AA49" s="58" t="s">
        <v>3</v>
      </c>
      <c r="AB49" s="58" t="s">
        <v>85</v>
      </c>
      <c r="AC49" s="58" t="s">
        <v>4</v>
      </c>
      <c r="AD49" s="88" t="s">
        <v>86</v>
      </c>
      <c r="AF49" s="87" t="s">
        <v>79</v>
      </c>
      <c r="AG49" s="58" t="s">
        <v>65</v>
      </c>
      <c r="AH49" s="58" t="s">
        <v>80</v>
      </c>
      <c r="AI49" s="58" t="s">
        <v>81</v>
      </c>
      <c r="AJ49" s="58" t="s">
        <v>82</v>
      </c>
      <c r="AK49" s="58" t="s">
        <v>83</v>
      </c>
      <c r="AL49" s="58" t="s">
        <v>84</v>
      </c>
      <c r="AM49" s="58" t="s">
        <v>3</v>
      </c>
      <c r="AN49" s="58" t="s">
        <v>85</v>
      </c>
      <c r="AO49" s="58" t="s">
        <v>4</v>
      </c>
      <c r="AP49" s="88" t="s">
        <v>86</v>
      </c>
    </row>
    <row r="50" spans="20:42" x14ac:dyDescent="0.25">
      <c r="T50" s="87">
        <f>IF(OR(J7="with cache", J7="without cache"), K6, -1)</f>
        <v>-1</v>
      </c>
      <c r="U50" s="58" t="s">
        <v>91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01_First Link</v>
      </c>
      <c r="Z50" s="58" t="str">
        <f t="array" ref="Z50">_xlfn.TEXTJOIN(", ", TRUE,_xlfn.ANCHORARRAY( Y50))</f>
        <v>01_First Link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50" s="58" t="str">
        <f t="array" ref="AB50">_xlfn.TEXTJOIN(", ", TRUE,_xlfn.ANCHORARRAY( AA50))</f>
        <v>First Link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92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01_First Link</v>
      </c>
      <c r="AL50" s="58" t="str">
        <f t="array" ref="AL50">_xlfn.TEXTJOIN(", ", TRUE,_xlfn.ANCHORARRAY( AK50))</f>
        <v>01_First Link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First Link</v>
      </c>
      <c r="AN50" s="58" t="str">
        <f t="array" ref="AN50">_xlfn.TEXTJOIN(", ", TRUE,_xlfn.ANCHORARRAY( AM50))</f>
        <v>First Link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94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95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97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98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100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101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103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104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106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107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109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110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112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113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First Link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First Link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01_First Link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01_First Link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01_First Link</vt:lpstr>
      <vt:lpstr>02_Second Link</vt:lpstr>
      <vt:lpstr>03_Third Link</vt:lpstr>
      <vt:lpstr>04_Fourth Link</vt:lpstr>
      <vt:lpstr>05_Fifth Link</vt:lpstr>
      <vt:lpstr>06_Sixth Link</vt:lpstr>
      <vt:lpstr>07_Seventh Link</vt:lpstr>
      <vt:lpstr>08_Eighth Link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2025-09-04T09:33:21Z</dcterms:modified>
</cp:coreProperties>
</file>